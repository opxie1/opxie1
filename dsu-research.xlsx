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alculations" sheetId="2" state="visible" r:id="rId4"/>
    <sheet name="Chart Data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<sst xmlns="http://schemas.openxmlformats.org/spreadsheetml/2006/main" count="107" uniqueCount="94">
  <si>
    <t xml:space="preserve">Liberation Day Market Analysis (Mar 25 – Apr 15, 2025)</t>
  </si>
  <si>
    <t xml:space="preserve">Yahoo Finance (Adj. Close)</t>
  </si>
  <si>
    <t xml:space="preserve">FRED — Treasury Yields (%)</t>
  </si>
  <si>
    <t xml:space="preserve">FRED — Credit Spreads (%)</t>
  </si>
  <si>
    <t xml:space="preserve">Date</t>
  </si>
  <si>
    <t xml:space="preserve">S&amp;P 500
(^GSPC)</t>
  </si>
  <si>
    <t xml:space="preserve">Nasdaq
(^IXIC)</t>
  </si>
  <si>
    <t xml:space="preserve">VIX
(^VIX)</t>
  </si>
  <si>
    <t xml:space="preserve">10-Year
Yield</t>
  </si>
  <si>
    <t xml:space="preserve">2-Year
Yield</t>
  </si>
  <si>
    <t xml:space="preserve">HY OAS
(BAMLH0A0HYM2)</t>
  </si>
  <si>
    <t xml:space="preserve">IG OAS
(BAMLC0A0CM)</t>
  </si>
  <si>
    <t xml:space="preserve">25-Mar-25</t>
  </si>
  <si>
    <t xml:space="preserve">26-Mar-25</t>
  </si>
  <si>
    <t xml:space="preserve">27-Mar-25</t>
  </si>
  <si>
    <t xml:space="preserve">28-Mar-25</t>
  </si>
  <si>
    <t xml:space="preserve">31-Mar-25</t>
  </si>
  <si>
    <t xml:space="preserve">01-Apr-25</t>
  </si>
  <si>
    <t xml:space="preserve">◄ Apr 2 – Liberation Day</t>
  </si>
  <si>
    <t xml:space="preserve">02-Apr-25</t>
  </si>
  <si>
    <t xml:space="preserve">03-Apr-25</t>
  </si>
  <si>
    <t xml:space="preserve">04-Apr-25</t>
  </si>
  <si>
    <t xml:space="preserve">07-Apr-25</t>
  </si>
  <si>
    <t xml:space="preserve">08-Apr-25</t>
  </si>
  <si>
    <t xml:space="preserve">◄ Apr 9 – 90-day pause</t>
  </si>
  <si>
    <t xml:space="preserve">09-Apr-25</t>
  </si>
  <si>
    <t xml:space="preserve">10-Apr-25</t>
  </si>
  <si>
    <t xml:space="preserve">11-Apr-25</t>
  </si>
  <si>
    <t xml:space="preserve">14-Apr-25</t>
  </si>
  <si>
    <t xml:space="preserve">15-Apr-25</t>
  </si>
  <si>
    <t xml:space="preserve">Calculations (Daily Returns, Cumulative Returns, Yield &amp; Spread Changes)</t>
  </si>
  <si>
    <t xml:space="preserve">A.  Daily Returns &amp; Index/Spread Levels</t>
  </si>
  <si>
    <t xml:space="preserve">S&amp;P 500
Adj. Close</t>
  </si>
  <si>
    <t xml:space="preserve">S&amp;P 500
Daily Return</t>
  </si>
  <si>
    <t xml:space="preserve">Nasdaq
Adj. Close</t>
  </si>
  <si>
    <t xml:space="preserve">Nasdaq
Daily Return</t>
  </si>
  <si>
    <t xml:space="preserve">VIX
Close</t>
  </si>
  <si>
    <t xml:space="preserve">10Y Yield
(%)</t>
  </si>
  <si>
    <t xml:space="preserve">2Y Yield
(%)</t>
  </si>
  <si>
    <t xml:space="preserve">HY OAS
(bps)</t>
  </si>
  <si>
    <t xml:space="preserve">IG OAS
(bps)</t>
  </si>
  <si>
    <t xml:space="preserve">N/A</t>
  </si>
  <si>
    <t xml:space="preserve">1% = 100 BSP, 3.09% should be reported as 309 bps.</t>
  </si>
  <si>
    <t xml:space="preserve">B.  Cumulative (Holding-Period) Returns</t>
  </si>
  <si>
    <t xml:space="preserve">Window</t>
  </si>
  <si>
    <t xml:space="preserve">Start Date</t>
  </si>
  <si>
    <t xml:space="preserve">End Date</t>
  </si>
  <si>
    <t xml:space="preserve">S&amp;P 500
Cum. Return</t>
  </si>
  <si>
    <t xml:space="preserve">Nasdaq
Cum. Return</t>
  </si>
  <si>
    <t xml:space="preserve">Apr 2 → Apr 4</t>
  </si>
  <si>
    <t xml:space="preserve">Apr 2, 2025</t>
  </si>
  <si>
    <t xml:space="preserve">Apr 4, 2025</t>
  </si>
  <si>
    <t xml:space="preserve">Apr 2 → Apr 9</t>
  </si>
  <si>
    <t xml:space="preserve">Apr 9, 2025</t>
  </si>
  <si>
    <t xml:space="preserve">Apr 9 → Apr 11</t>
  </si>
  <si>
    <t xml:space="preserve">Apr 11, 2025</t>
  </si>
  <si>
    <t xml:space="preserve">C.  Yield &amp; Spread Changes vs. Apr 2 Baseline</t>
  </si>
  <si>
    <t xml:space="preserve">Metric</t>
  </si>
  <si>
    <t xml:space="preserve">Apr 2 Level</t>
  </si>
  <si>
    <t xml:space="preserve">Apr 4 Level</t>
  </si>
  <si>
    <t xml:space="preserve">Change
(Apr 2→4)</t>
  </si>
  <si>
    <t xml:space="preserve">Apr 9 Level</t>
  </si>
  <si>
    <t xml:space="preserve">Change
(Apr 2→9)</t>
  </si>
  <si>
    <t xml:space="preserve">Apr 11 Level</t>
  </si>
  <si>
    <t xml:space="preserve">Change
(Apr 2→11)</t>
  </si>
  <si>
    <t xml:space="preserve">10-Year Treasury Yield (%)</t>
  </si>
  <si>
    <t xml:space="preserve">2-Year Treasury Yield (%)</t>
  </si>
  <si>
    <t xml:space="preserve">High Yield Option-Adjusted Spread (bps)</t>
  </si>
  <si>
    <t xml:space="preserve">Investment Grade Option-Adjusted Spread (bps)</t>
  </si>
  <si>
    <t xml:space="preserve">Chart Data</t>
  </si>
  <si>
    <t xml:space="preserve">Chart 1 – S&amp;P 500 &amp; Nasdaq Levels</t>
  </si>
  <si>
    <t xml:space="preserve">S&amp;P 500 (Adj. Close)</t>
  </si>
  <si>
    <t xml:space="preserve">Nasdaq (Adj. Close)</t>
  </si>
  <si>
    <t xml:space="preserve">Chart 2 – VIX Level</t>
  </si>
  <si>
    <t xml:space="preserve">VIX Close</t>
  </si>
  <si>
    <t xml:space="preserve">Chart 3 – Daily Returns</t>
  </si>
  <si>
    <t xml:space="preserve">S&amp;P 500 Daily Return</t>
  </si>
  <si>
    <t xml:space="preserve">Nasdaq Daily Return</t>
  </si>
  <si>
    <t xml:space="preserve">Chart 4 – Treasury Yields</t>
  </si>
  <si>
    <t xml:space="preserve">10-Year Yield (%)</t>
  </si>
  <si>
    <t xml:space="preserve">2-Year Yield (%)</t>
  </si>
  <si>
    <t xml:space="preserve">Chart 5 – Credit Spreads (bps)</t>
  </si>
  <si>
    <t xml:space="preserve">HY OAS (bps)</t>
  </si>
  <si>
    <t xml:space="preserve">IG OAS (bps)</t>
  </si>
  <si>
    <t xml:space="preserve">Chart 6 – Cumulative Returns</t>
  </si>
  <si>
    <t xml:space="preserve">S&amp;P 500 Cum. Return</t>
  </si>
  <si>
    <t xml:space="preserve">Nasdaq Cum. Return</t>
  </si>
  <si>
    <t xml:space="preserve">Chart 1: S&amp;P 500 &amp; Nasdaq Levels</t>
  </si>
  <si>
    <t xml:space="preserve">Chart 2: VIX Volatility Index</t>
  </si>
  <si>
    <t xml:space="preserve">Chart 3: Daily Returns (%)</t>
  </si>
  <si>
    <t xml:space="preserve">Chart 4: Treasury Yields (%)</t>
  </si>
  <si>
    <t xml:space="preserve">Chart 5 — Credit Spreads (bps)</t>
  </si>
  <si>
    <t xml:space="preserve">Chart 6 — Cumulative Returns from Apr 2</t>
  </si>
  <si>
    <t xml:space="preserve">Chart 7 — HY vs. IG Credit Spreads (bps)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</si>
</sst>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"/>
    <numFmt numFmtId="166" formatCode="#,##0.00"/>
    <numFmt numFmtId="167" formatCode="0.00"/>
    <numFmt numFmtId="168" formatCode="0.00%"/>
    <numFmt numFmtId="169" formatCode="0.00\%"/>
    <numFmt numFmtId="170" formatCode="0.0&quot; bps&quot;"/>
    <numFmt numFmtId="171" formatCode="0.00&quot; bps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7F3F00"/>
      <name val="Arial"/>
      <family val="0"/>
      <charset val="1"/>
    </font>
    <font>
      <b val="true"/>
      <i val="true"/>
      <sz val="9"/>
      <color rgb="FF7F3F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833C00"/>
        <bgColor rgb="FF7F3F00"/>
      </patternFill>
    </fill>
    <fill>
      <patternFill patternType="solid">
        <fgColor rgb="FFF2F2F2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EEAF1"/>
        <bgColor rgb="FFF2F2F2"/>
      </patternFill>
    </fill>
    <fill>
      <patternFill patternType="solid">
        <fgColor rgb="FFD9D9D9"/>
        <bgColor rgb="FFDEEAF1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B3B3B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F3F00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C00"/>
      <rgbColor rgb="FFFF9900"/>
      <rgbColor rgb="FFFF6600"/>
      <rgbColor rgb="FF595959"/>
      <rgbColor rgb="FFB3B3B3"/>
      <rgbColor rgb="FF003366"/>
      <rgbColor rgb="FF339966"/>
      <rgbColor rgb="FF003300"/>
      <rgbColor rgb="FF333300"/>
      <rgbColor rgb="FF833C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HY vs. IG Credit Spreads (bps)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Data'!B75</c:f>
              <c:strCache>
                <c:ptCount val="1"/>
                <c:pt idx="0">
                  <c:v>HY OAS (bps)</c:v>
                </c:pt>
              </c:strCache>
            </c:strRef>
          </c:tx>
          <c:spPr>
            <a:solidFill>
              <a:srgbClr val="c00000"/>
            </a:solidFill>
            <a:ln w="180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Data'!$A$76:$A$91</c:f>
              <c:strCache>
                <c:ptCount val="16"/>
                <c:pt idx="0">
                  <c:v>25-Mar-25</c:v>
                </c:pt>
                <c:pt idx="1">
                  <c:v>26-Mar-25</c:v>
                </c:pt>
                <c:pt idx="2">
                  <c:v>27-Mar-25</c:v>
                </c:pt>
                <c:pt idx="3">
                  <c:v>28-Mar-25</c:v>
                </c:pt>
                <c:pt idx="4">
                  <c:v>31-Mar-25</c:v>
                </c:pt>
                <c:pt idx="5">
                  <c:v>01-Apr-25</c:v>
                </c:pt>
                <c:pt idx="6">
                  <c:v>02-Apr-25</c:v>
                </c:pt>
                <c:pt idx="7">
                  <c:v>03-Apr-25</c:v>
                </c:pt>
                <c:pt idx="8">
                  <c:v>04-Apr-25</c:v>
                </c:pt>
                <c:pt idx="9">
                  <c:v>07-Apr-25</c:v>
                </c:pt>
                <c:pt idx="10">
                  <c:v>08-Apr-25</c:v>
                </c:pt>
                <c:pt idx="11">
                  <c:v>09-Apr-25</c:v>
                </c:pt>
                <c:pt idx="12">
                  <c:v>10-Apr-25</c:v>
                </c:pt>
                <c:pt idx="13">
                  <c:v>11-Apr-25</c:v>
                </c:pt>
                <c:pt idx="14">
                  <c:v>14-Apr-25</c:v>
                </c:pt>
                <c:pt idx="15">
                  <c:v>15-Apr-25</c:v>
                </c:pt>
              </c:strCache>
            </c:strRef>
          </c:cat>
          <c:val>
            <c:numRef>
              <c:f>'Chart Data'!$B$76:$B$91</c:f>
              <c:numCache>
                <c:formatCode>0.0" bps"</c:formatCode>
                <c:ptCount val="16"/>
                <c:pt idx="0">
                  <c:v>309</c:v>
                </c:pt>
                <c:pt idx="1">
                  <c:v>319</c:v>
                </c:pt>
                <c:pt idx="2">
                  <c:v>327</c:v>
                </c:pt>
                <c:pt idx="3">
                  <c:v>347</c:v>
                </c:pt>
                <c:pt idx="4">
                  <c:v>355</c:v>
                </c:pt>
                <c:pt idx="5">
                  <c:v>350</c:v>
                </c:pt>
                <c:pt idx="6">
                  <c:v>342</c:v>
                </c:pt>
                <c:pt idx="7">
                  <c:v>401</c:v>
                </c:pt>
                <c:pt idx="8">
                  <c:v>445</c:v>
                </c:pt>
                <c:pt idx="9">
                  <c:v>461</c:v>
                </c:pt>
                <c:pt idx="10">
                  <c:v>457</c:v>
                </c:pt>
                <c:pt idx="11">
                  <c:v>437</c:v>
                </c:pt>
                <c:pt idx="12">
                  <c:v>442</c:v>
                </c:pt>
                <c:pt idx="13">
                  <c:v>426</c:v>
                </c:pt>
                <c:pt idx="14">
                  <c:v>414</c:v>
                </c:pt>
                <c:pt idx="15">
                  <c:v>409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Data'!C75</c:f>
              <c:strCache>
                <c:ptCount val="1"/>
                <c:pt idx="0">
                  <c:v>IG OAS (bps)</c:v>
                </c:pt>
              </c:strCache>
            </c:strRef>
          </c:tx>
          <c:spPr>
            <a:solidFill>
              <a:srgbClr val="2e75b6"/>
            </a:solidFill>
            <a:ln w="1800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Data'!$A$76:$A$91</c:f>
              <c:strCache>
                <c:ptCount val="16"/>
                <c:pt idx="0">
                  <c:v>25-Mar-25</c:v>
                </c:pt>
                <c:pt idx="1">
                  <c:v>26-Mar-25</c:v>
                </c:pt>
                <c:pt idx="2">
                  <c:v>27-Mar-25</c:v>
                </c:pt>
                <c:pt idx="3">
                  <c:v>28-Mar-25</c:v>
                </c:pt>
                <c:pt idx="4">
                  <c:v>31-Mar-25</c:v>
                </c:pt>
                <c:pt idx="5">
                  <c:v>01-Apr-25</c:v>
                </c:pt>
                <c:pt idx="6">
                  <c:v>02-Apr-25</c:v>
                </c:pt>
                <c:pt idx="7">
                  <c:v>03-Apr-25</c:v>
                </c:pt>
                <c:pt idx="8">
                  <c:v>04-Apr-25</c:v>
                </c:pt>
                <c:pt idx="9">
                  <c:v>07-Apr-25</c:v>
                </c:pt>
                <c:pt idx="10">
                  <c:v>08-Apr-25</c:v>
                </c:pt>
                <c:pt idx="11">
                  <c:v>09-Apr-25</c:v>
                </c:pt>
                <c:pt idx="12">
                  <c:v>10-Apr-25</c:v>
                </c:pt>
                <c:pt idx="13">
                  <c:v>11-Apr-25</c:v>
                </c:pt>
                <c:pt idx="14">
                  <c:v>14-Apr-25</c:v>
                </c:pt>
                <c:pt idx="15">
                  <c:v>15-Apr-25</c:v>
                </c:pt>
              </c:strCache>
            </c:strRef>
          </c:cat>
          <c:val>
            <c:numRef>
              <c:f>'Chart Data'!$C$76:$C$91</c:f>
              <c:numCache>
                <c:formatCode>0.0" bps"</c:formatCode>
                <c:ptCount val="16"/>
                <c:pt idx="0">
                  <c:v>90</c:v>
                </c:pt>
                <c:pt idx="1">
                  <c:v>91</c:v>
                </c:pt>
                <c:pt idx="2">
                  <c:v>91</c:v>
                </c:pt>
                <c:pt idx="3">
                  <c:v>94</c:v>
                </c:pt>
                <c:pt idx="4">
                  <c:v>97</c:v>
                </c:pt>
                <c:pt idx="5">
                  <c:v>98</c:v>
                </c:pt>
                <c:pt idx="6">
                  <c:v>96</c:v>
                </c:pt>
                <c:pt idx="7">
                  <c:v>106</c:v>
                </c:pt>
                <c:pt idx="8">
                  <c:v>114</c:v>
                </c:pt>
                <c:pt idx="9">
                  <c:v>120</c:v>
                </c:pt>
                <c:pt idx="10">
                  <c:v>118</c:v>
                </c:pt>
                <c:pt idx="11">
                  <c:v>121</c:v>
                </c:pt>
                <c:pt idx="12">
                  <c:v>118</c:v>
                </c:pt>
                <c:pt idx="13">
                  <c:v>118</c:v>
                </c:pt>
                <c:pt idx="14">
                  <c:v>115</c:v>
                </c:pt>
                <c:pt idx="15">
                  <c:v>114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428263"/>
        <c:axId val="52420956"/>
      </c:lineChart>
      <c:catAx>
        <c:axId val="864282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20956"/>
        <c:crosses val="autoZero"/>
        <c:auto val="1"/>
        <c:lblAlgn val="ctr"/>
        <c:lblOffset val="100"/>
        <c:noMultiLvlLbl val="0"/>
      </c:catAx>
      <c:valAx>
        <c:axId val="524209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Spread (bps)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&quot; bps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282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0</xdr:rowOff>
    </xdr:from>
    <xdr:to>
      <xdr:col>9</xdr:col>
      <xdr:colOff>155520</xdr:colOff>
      <xdr:row>16</xdr:row>
      <xdr:rowOff>189720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1120" y="571680"/>
          <a:ext cx="5067720" cy="266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19</xdr:col>
      <xdr:colOff>155520</xdr:colOff>
      <xdr:row>16</xdr:row>
      <xdr:rowOff>189720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6281280" y="571680"/>
          <a:ext cx="5068080" cy="266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9</xdr:col>
      <xdr:colOff>155520</xdr:colOff>
      <xdr:row>46</xdr:row>
      <xdr:rowOff>189720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41120" y="6286680"/>
          <a:ext cx="5067720" cy="266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19</xdr:col>
      <xdr:colOff>155520</xdr:colOff>
      <xdr:row>46</xdr:row>
      <xdr:rowOff>189720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6281280" y="6286680"/>
          <a:ext cx="5068080" cy="266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9</xdr:col>
      <xdr:colOff>155520</xdr:colOff>
      <xdr:row>76</xdr:row>
      <xdr:rowOff>189720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41120" y="12001680"/>
          <a:ext cx="5067720" cy="266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63</xdr:row>
      <xdr:rowOff>0</xdr:rowOff>
    </xdr:from>
    <xdr:to>
      <xdr:col>19</xdr:col>
      <xdr:colOff>155520</xdr:colOff>
      <xdr:row>76</xdr:row>
      <xdr:rowOff>189720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6281280" y="12001680"/>
          <a:ext cx="5068080" cy="266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12</xdr:col>
      <xdr:colOff>445320</xdr:colOff>
      <xdr:row>115</xdr:row>
      <xdr:rowOff>128880</xdr:rowOff>
    </xdr:to>
    <xdr:graphicFrame>
      <xdr:nvGraphicFramePr>
        <xdr:cNvPr id="6" name="Chart 1"/>
        <xdr:cNvGraphicFramePr/>
      </xdr:nvGraphicFramePr>
      <xdr:xfrm>
        <a:off x="141120" y="177166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H3" activeCellId="0" sqref="H3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7.42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B2" s="2" t="s">
        <v>1</v>
      </c>
      <c r="C2" s="2"/>
      <c r="D2" s="2"/>
      <c r="E2" s="3" t="s">
        <v>2</v>
      </c>
      <c r="F2" s="3"/>
      <c r="G2" s="4" t="s">
        <v>3</v>
      </c>
      <c r="H2" s="4"/>
    </row>
    <row r="3" customFormat="false" ht="30" hidden="false" customHeight="true" outlineLevel="0" collapsed="false">
      <c r="A3" s="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</row>
    <row r="4" customFormat="false" ht="13.5" hidden="false" customHeight="true" outlineLevel="0" collapsed="false">
      <c r="A4" s="7" t="s">
        <v>12</v>
      </c>
      <c r="B4" s="8" t="n">
        <v>5776.65</v>
      </c>
      <c r="C4" s="8" t="n">
        <v>18271.86</v>
      </c>
      <c r="D4" s="9" t="n">
        <v>17.15</v>
      </c>
      <c r="E4" s="10" t="n">
        <v>0.0431</v>
      </c>
      <c r="F4" s="10" t="n">
        <v>0.0396</v>
      </c>
      <c r="G4" s="11" t="n">
        <v>0.0309</v>
      </c>
      <c r="H4" s="11" t="n">
        <v>0.009</v>
      </c>
    </row>
    <row r="5" customFormat="false" ht="15" hidden="false" customHeight="true" outlineLevel="0" collapsed="false">
      <c r="A5" s="7" t="s">
        <v>13</v>
      </c>
      <c r="B5" s="12" t="n">
        <v>5712.2</v>
      </c>
      <c r="C5" s="12" t="n">
        <v>17899.02</v>
      </c>
      <c r="D5" s="13" t="n">
        <v>18.33</v>
      </c>
      <c r="E5" s="14" t="n">
        <v>0.0435</v>
      </c>
      <c r="F5" s="14" t="n">
        <v>0.0398</v>
      </c>
      <c r="G5" s="11" t="n">
        <v>0.0319</v>
      </c>
      <c r="H5" s="11" t="n">
        <v>0.0091</v>
      </c>
    </row>
    <row r="6" customFormat="false" ht="15" hidden="false" customHeight="true" outlineLevel="0" collapsed="false">
      <c r="A6" s="7" t="s">
        <v>14</v>
      </c>
      <c r="B6" s="8" t="n">
        <v>5693.31</v>
      </c>
      <c r="C6" s="8" t="n">
        <v>17804.03</v>
      </c>
      <c r="D6" s="9" t="n">
        <v>18.69</v>
      </c>
      <c r="E6" s="10" t="n">
        <v>0.0438</v>
      </c>
      <c r="F6" s="10" t="n">
        <v>0.0397</v>
      </c>
      <c r="G6" s="11" t="n">
        <v>0.0327</v>
      </c>
      <c r="H6" s="11" t="n">
        <v>0.0091</v>
      </c>
    </row>
    <row r="7" customFormat="false" ht="15" hidden="false" customHeight="true" outlineLevel="0" collapsed="false">
      <c r="A7" s="7" t="s">
        <v>15</v>
      </c>
      <c r="B7" s="12" t="n">
        <v>5580.94</v>
      </c>
      <c r="C7" s="12" t="n">
        <v>17322.99</v>
      </c>
      <c r="D7" s="13" t="n">
        <v>21.65</v>
      </c>
      <c r="E7" s="14" t="n">
        <v>0.0427</v>
      </c>
      <c r="F7" s="14" t="n">
        <v>0.0389</v>
      </c>
      <c r="G7" s="11" t="n">
        <v>0.0347</v>
      </c>
      <c r="H7" s="11" t="n">
        <v>0.0094</v>
      </c>
    </row>
    <row r="8" customFormat="false" ht="15" hidden="false" customHeight="true" outlineLevel="0" collapsed="false">
      <c r="A8" s="7" t="s">
        <v>16</v>
      </c>
      <c r="B8" s="8" t="n">
        <v>5611.85</v>
      </c>
      <c r="C8" s="8" t="n">
        <v>17299.29</v>
      </c>
      <c r="D8" s="9" t="n">
        <v>22.28</v>
      </c>
      <c r="E8" s="10" t="n">
        <v>0.0423</v>
      </c>
      <c r="F8" s="10" t="n">
        <v>0.0389</v>
      </c>
      <c r="G8" s="11" t="n">
        <v>0.0355</v>
      </c>
      <c r="H8" s="11" t="n">
        <v>0.0097</v>
      </c>
    </row>
    <row r="9" customFormat="false" ht="15" hidden="false" customHeight="true" outlineLevel="0" collapsed="false">
      <c r="A9" s="15" t="s">
        <v>17</v>
      </c>
      <c r="B9" s="16" t="n">
        <v>5633.07</v>
      </c>
      <c r="C9" s="16" t="n">
        <v>17449.89</v>
      </c>
      <c r="D9" s="17" t="n">
        <v>21.77</v>
      </c>
      <c r="E9" s="18" t="n">
        <v>0.0417</v>
      </c>
      <c r="F9" s="18" t="n">
        <v>0.0387</v>
      </c>
      <c r="G9" s="19" t="n">
        <v>0.035</v>
      </c>
      <c r="H9" s="19" t="n">
        <v>0.0098</v>
      </c>
      <c r="I9" s="20" t="s">
        <v>18</v>
      </c>
    </row>
    <row r="10" customFormat="false" ht="15" hidden="false" customHeight="true" outlineLevel="0" collapsed="false">
      <c r="A10" s="7" t="s">
        <v>19</v>
      </c>
      <c r="B10" s="8" t="n">
        <v>5670.97</v>
      </c>
      <c r="C10" s="8" t="n">
        <v>17601.05</v>
      </c>
      <c r="D10" s="9" t="n">
        <v>21.51</v>
      </c>
      <c r="E10" s="10" t="n">
        <v>0.042</v>
      </c>
      <c r="F10" s="10" t="n">
        <v>0.0391</v>
      </c>
      <c r="G10" s="11" t="n">
        <v>0.0342</v>
      </c>
      <c r="H10" s="11" t="n">
        <v>0.0096</v>
      </c>
    </row>
    <row r="11" customFormat="false" ht="15" hidden="false" customHeight="true" outlineLevel="0" collapsed="false">
      <c r="A11" s="7" t="s">
        <v>20</v>
      </c>
      <c r="B11" s="12" t="n">
        <v>5396.52</v>
      </c>
      <c r="C11" s="12" t="n">
        <v>16550.61</v>
      </c>
      <c r="D11" s="13" t="n">
        <v>30.02</v>
      </c>
      <c r="E11" s="14" t="n">
        <v>0.0406</v>
      </c>
      <c r="F11" s="14" t="n">
        <v>0.0371</v>
      </c>
      <c r="G11" s="11" t="n">
        <v>0.0401</v>
      </c>
      <c r="H11" s="11" t="n">
        <v>0.0106</v>
      </c>
    </row>
    <row r="12" customFormat="false" ht="15" hidden="false" customHeight="true" outlineLevel="0" collapsed="false">
      <c r="A12" s="7" t="s">
        <v>21</v>
      </c>
      <c r="B12" s="8" t="n">
        <v>5074.08</v>
      </c>
      <c r="C12" s="8" t="n">
        <v>15587.79</v>
      </c>
      <c r="D12" s="9" t="n">
        <v>45.31</v>
      </c>
      <c r="E12" s="10" t="n">
        <v>0.0401</v>
      </c>
      <c r="F12" s="10" t="n">
        <v>0.0368</v>
      </c>
      <c r="G12" s="11" t="n">
        <v>0.0445</v>
      </c>
      <c r="H12" s="11" t="n">
        <v>0.0114</v>
      </c>
    </row>
    <row r="13" customFormat="false" ht="15" hidden="false" customHeight="true" outlineLevel="0" collapsed="false">
      <c r="A13" s="7" t="s">
        <v>22</v>
      </c>
      <c r="B13" s="12" t="n">
        <v>5062.25</v>
      </c>
      <c r="C13" s="12" t="n">
        <v>15603.26</v>
      </c>
      <c r="D13" s="13" t="n">
        <v>46.98</v>
      </c>
      <c r="E13" s="14" t="n">
        <v>0.0415</v>
      </c>
      <c r="F13" s="14" t="n">
        <v>0.0373</v>
      </c>
      <c r="G13" s="11" t="n">
        <v>0.0461</v>
      </c>
      <c r="H13" s="11" t="n">
        <v>0.012</v>
      </c>
    </row>
    <row r="14" customFormat="false" ht="15" hidden="false" customHeight="true" outlineLevel="0" collapsed="false">
      <c r="A14" s="15" t="s">
        <v>23</v>
      </c>
      <c r="B14" s="16" t="n">
        <v>4982.77</v>
      </c>
      <c r="C14" s="16" t="n">
        <v>15267.91</v>
      </c>
      <c r="D14" s="17" t="n">
        <v>52.33</v>
      </c>
      <c r="E14" s="18" t="n">
        <v>0.0426</v>
      </c>
      <c r="F14" s="18" t="n">
        <v>0.0371</v>
      </c>
      <c r="G14" s="19" t="n">
        <v>0.0457</v>
      </c>
      <c r="H14" s="19" t="n">
        <v>0.0118</v>
      </c>
      <c r="I14" s="20" t="s">
        <v>24</v>
      </c>
    </row>
    <row r="15" customFormat="false" ht="15" hidden="false" customHeight="true" outlineLevel="0" collapsed="false">
      <c r="A15" s="7" t="s">
        <v>25</v>
      </c>
      <c r="B15" s="12" t="n">
        <v>5456.9</v>
      </c>
      <c r="C15" s="12" t="n">
        <v>17124.97</v>
      </c>
      <c r="D15" s="13" t="n">
        <v>33.62</v>
      </c>
      <c r="E15" s="14" t="n">
        <v>0.0434</v>
      </c>
      <c r="F15" s="14" t="n">
        <v>0.0391</v>
      </c>
      <c r="G15" s="11" t="n">
        <v>0.0437</v>
      </c>
      <c r="H15" s="11" t="n">
        <v>0.0121</v>
      </c>
    </row>
    <row r="16" customFormat="false" ht="15" hidden="false" customHeight="true" outlineLevel="0" collapsed="false">
      <c r="A16" s="7" t="s">
        <v>26</v>
      </c>
      <c r="B16" s="8" t="n">
        <v>5268.05</v>
      </c>
      <c r="C16" s="8" t="n">
        <v>16387.31</v>
      </c>
      <c r="D16" s="9" t="n">
        <v>40.72</v>
      </c>
      <c r="E16" s="10" t="n">
        <v>0.044</v>
      </c>
      <c r="F16" s="10" t="n">
        <v>0.0384</v>
      </c>
      <c r="G16" s="11" t="n">
        <v>0.0442</v>
      </c>
      <c r="H16" s="11" t="n">
        <v>0.0118</v>
      </c>
    </row>
    <row r="17" customFormat="false" ht="15" hidden="false" customHeight="true" outlineLevel="0" collapsed="false">
      <c r="A17" s="7" t="s">
        <v>27</v>
      </c>
      <c r="B17" s="12" t="n">
        <v>5363.36</v>
      </c>
      <c r="C17" s="12" t="n">
        <v>16724.46</v>
      </c>
      <c r="D17" s="13" t="n">
        <v>37.56</v>
      </c>
      <c r="E17" s="14" t="n">
        <v>0.0448</v>
      </c>
      <c r="F17" s="14" t="n">
        <v>0.0396</v>
      </c>
      <c r="G17" s="11" t="n">
        <v>0.0426</v>
      </c>
      <c r="H17" s="11" t="n">
        <v>0.0118</v>
      </c>
    </row>
    <row r="18" customFormat="false" ht="15" hidden="false" customHeight="true" outlineLevel="0" collapsed="false">
      <c r="A18" s="7" t="s">
        <v>28</v>
      </c>
      <c r="B18" s="8" t="n">
        <v>5405.97</v>
      </c>
      <c r="C18" s="8" t="n">
        <v>16831.48</v>
      </c>
      <c r="D18" s="9" t="n">
        <v>30.89</v>
      </c>
      <c r="E18" s="10" t="n">
        <v>0.0438</v>
      </c>
      <c r="F18" s="10" t="n">
        <v>0.0384</v>
      </c>
      <c r="G18" s="11" t="n">
        <v>0.0414</v>
      </c>
      <c r="H18" s="11" t="n">
        <v>0.0115</v>
      </c>
    </row>
    <row r="19" customFormat="false" ht="15" hidden="false" customHeight="true" outlineLevel="0" collapsed="false">
      <c r="A19" s="7" t="s">
        <v>29</v>
      </c>
      <c r="B19" s="12" t="n">
        <v>5396.63</v>
      </c>
      <c r="C19" s="12" t="n">
        <v>16823.17</v>
      </c>
      <c r="D19" s="13" t="n">
        <v>30.12</v>
      </c>
      <c r="E19" s="14" t="n">
        <v>0.0435</v>
      </c>
      <c r="F19" s="14" t="n">
        <v>0.0384</v>
      </c>
      <c r="G19" s="11" t="n">
        <v>0.0409</v>
      </c>
      <c r="H19" s="11" t="n">
        <v>0.0114</v>
      </c>
    </row>
    <row r="20" customFormat="false" ht="15" hidden="false" customHeight="true" outlineLevel="0" collapsed="false"/>
    <row r="22" customFormat="false" ht="18" hidden="false" customHeight="true" outlineLevel="0" collapsed="false">
      <c r="A22" s="21"/>
      <c r="B22" s="21"/>
      <c r="C22" s="21"/>
      <c r="D22" s="21"/>
      <c r="E22" s="21"/>
      <c r="F22" s="21"/>
      <c r="G22" s="21"/>
      <c r="H22" s="21"/>
    </row>
  </sheetData>
  <mergeCells count="5">
    <mergeCell ref="A1:J1"/>
    <mergeCell ref="B2:D2"/>
    <mergeCell ref="E2:F2"/>
    <mergeCell ref="G2:H2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L16" activeCellId="0" sqref="L1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.43"/>
    <col collapsed="false" customWidth="true" hidden="false" outlineLevel="0" max="10" min="2" style="0" width="14"/>
    <col collapsed="false" customWidth="true" hidden="false" outlineLevel="0" max="12" min="12" style="0" width="50.29"/>
  </cols>
  <sheetData>
    <row r="1" customFormat="false" ht="21.7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2" t="s">
        <v>31</v>
      </c>
      <c r="B2" s="22"/>
      <c r="C2" s="22"/>
      <c r="D2" s="22"/>
      <c r="E2" s="22"/>
      <c r="F2" s="22"/>
      <c r="G2" s="22"/>
      <c r="H2" s="22"/>
      <c r="I2" s="22"/>
    </row>
    <row r="3" customFormat="false" ht="36" hidden="false" customHeight="true" outlineLevel="0" collapsed="false">
      <c r="A3" s="6" t="s">
        <v>4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6" t="s">
        <v>40</v>
      </c>
    </row>
    <row r="4" customFormat="false" ht="15" hidden="false" customHeight="true" outlineLevel="0" collapsed="false">
      <c r="A4" s="23" t="str">
        <f aca="false">'Raw Data'!A4</f>
        <v>25-Mar-25</v>
      </c>
      <c r="B4" s="24" t="n">
        <f aca="false">'Raw Data'!B4</f>
        <v>5776.65</v>
      </c>
      <c r="C4" s="25" t="s">
        <v>41</v>
      </c>
      <c r="D4" s="24" t="n">
        <f aca="false">'Raw Data'!C4</f>
        <v>18271.86</v>
      </c>
      <c r="E4" s="25" t="s">
        <v>41</v>
      </c>
      <c r="F4" s="26" t="n">
        <f aca="false">'Raw Data'!D4</f>
        <v>17.15</v>
      </c>
      <c r="G4" s="27" t="n">
        <f aca="false">'Raw Data'!E4*100</f>
        <v>4.31</v>
      </c>
      <c r="H4" s="27" t="n">
        <f aca="false">'Raw Data'!F4*100</f>
        <v>3.96</v>
      </c>
      <c r="I4" s="28" t="n">
        <f aca="false">'Raw Data'!G4*10000</f>
        <v>309</v>
      </c>
      <c r="J4" s="28" t="n">
        <f aca="false">'Raw Data'!H4*10000</f>
        <v>90</v>
      </c>
    </row>
    <row r="5" customFormat="false" ht="15" hidden="false" customHeight="true" outlineLevel="0" collapsed="false">
      <c r="A5" s="29" t="str">
        <f aca="false">'Raw Data'!A5</f>
        <v>26-Mar-25</v>
      </c>
      <c r="B5" s="30" t="n">
        <f aca="false">'Raw Data'!B5</f>
        <v>5712.2</v>
      </c>
      <c r="C5" s="14" t="n">
        <f aca="false">('Raw Data'!B5-'Raw Data'!B4)/'Raw Data'!B4</f>
        <v>-0.0111569854500445</v>
      </c>
      <c r="D5" s="30" t="n">
        <f aca="false">'Raw Data'!C5</f>
        <v>17899.02</v>
      </c>
      <c r="E5" s="14" t="n">
        <f aca="false">('Raw Data'!C5-'Raw Data'!C4)/'Raw Data'!C4</f>
        <v>-0.0204051475876019</v>
      </c>
      <c r="F5" s="31" t="n">
        <f aca="false">'Raw Data'!D5</f>
        <v>18.33</v>
      </c>
      <c r="G5" s="32" t="n">
        <f aca="false">'Raw Data'!E5*100</f>
        <v>4.35</v>
      </c>
      <c r="H5" s="32" t="n">
        <f aca="false">'Raw Data'!F5*100</f>
        <v>3.98</v>
      </c>
      <c r="I5" s="28" t="n">
        <f aca="false">'Raw Data'!G5*10000</f>
        <v>319</v>
      </c>
      <c r="J5" s="28" t="n">
        <f aca="false">'Raw Data'!H5*10000</f>
        <v>91</v>
      </c>
    </row>
    <row r="6" customFormat="false" ht="15" hidden="false" customHeight="true" outlineLevel="0" collapsed="false">
      <c r="A6" s="23" t="str">
        <f aca="false">'Raw Data'!A6</f>
        <v>27-Mar-25</v>
      </c>
      <c r="B6" s="24" t="n">
        <f aca="false">'Raw Data'!B6</f>
        <v>5693.31</v>
      </c>
      <c r="C6" s="10" t="n">
        <f aca="false">('Raw Data'!B6-'Raw Data'!B5)/'Raw Data'!B5</f>
        <v>-0.00330695703931925</v>
      </c>
      <c r="D6" s="24" t="n">
        <f aca="false">'Raw Data'!C6</f>
        <v>17804.03</v>
      </c>
      <c r="E6" s="10" t="n">
        <f aca="false">('Raw Data'!C6-'Raw Data'!C5)/'Raw Data'!C5</f>
        <v>-0.00530699446114936</v>
      </c>
      <c r="F6" s="26" t="n">
        <f aca="false">'Raw Data'!D6</f>
        <v>18.69</v>
      </c>
      <c r="G6" s="27" t="n">
        <f aca="false">'Raw Data'!E6*100</f>
        <v>4.38</v>
      </c>
      <c r="H6" s="27" t="n">
        <f aca="false">'Raw Data'!F6*100</f>
        <v>3.97</v>
      </c>
      <c r="I6" s="28" t="n">
        <f aca="false">'Raw Data'!G6*10000</f>
        <v>327</v>
      </c>
      <c r="J6" s="28" t="n">
        <f aca="false">'Raw Data'!H6*10000</f>
        <v>91</v>
      </c>
    </row>
    <row r="7" customFormat="false" ht="15" hidden="false" customHeight="true" outlineLevel="0" collapsed="false">
      <c r="A7" s="29" t="str">
        <f aca="false">'Raw Data'!A7</f>
        <v>28-Mar-25</v>
      </c>
      <c r="B7" s="30" t="n">
        <f aca="false">'Raw Data'!B7</f>
        <v>5580.94</v>
      </c>
      <c r="C7" s="14" t="n">
        <f aca="false">('Raw Data'!B7-'Raw Data'!B6)/'Raw Data'!B6</f>
        <v>-0.0197372003281045</v>
      </c>
      <c r="D7" s="30" t="n">
        <f aca="false">'Raw Data'!C7</f>
        <v>17322.99</v>
      </c>
      <c r="E7" s="14" t="n">
        <f aca="false">('Raw Data'!C7-'Raw Data'!C6)/'Raw Data'!C6</f>
        <v>-0.0270186019682059</v>
      </c>
      <c r="F7" s="31" t="n">
        <f aca="false">'Raw Data'!D7</f>
        <v>21.65</v>
      </c>
      <c r="G7" s="32" t="n">
        <f aca="false">'Raw Data'!E7*100</f>
        <v>4.27</v>
      </c>
      <c r="H7" s="32" t="n">
        <f aca="false">'Raw Data'!F7*100</f>
        <v>3.89</v>
      </c>
      <c r="I7" s="28" t="n">
        <f aca="false">'Raw Data'!G7*10000</f>
        <v>347</v>
      </c>
      <c r="J7" s="28" t="n">
        <f aca="false">'Raw Data'!H7*10000</f>
        <v>94</v>
      </c>
    </row>
    <row r="8" customFormat="false" ht="15" hidden="false" customHeight="true" outlineLevel="0" collapsed="false">
      <c r="A8" s="23" t="str">
        <f aca="false">'Raw Data'!A8</f>
        <v>31-Mar-25</v>
      </c>
      <c r="B8" s="24" t="n">
        <f aca="false">'Raw Data'!B8</f>
        <v>5611.85</v>
      </c>
      <c r="C8" s="10" t="n">
        <f aca="false">('Raw Data'!B8-'Raw Data'!B7)/'Raw Data'!B7</f>
        <v>0.00553849351542944</v>
      </c>
      <c r="D8" s="24" t="n">
        <f aca="false">'Raw Data'!C8</f>
        <v>17299.29</v>
      </c>
      <c r="E8" s="10" t="n">
        <f aca="false">('Raw Data'!C8-'Raw Data'!C7)/'Raw Data'!C7</f>
        <v>-0.00136812409405078</v>
      </c>
      <c r="F8" s="26" t="n">
        <f aca="false">'Raw Data'!D8</f>
        <v>22.28</v>
      </c>
      <c r="G8" s="27" t="n">
        <f aca="false">'Raw Data'!E8*100</f>
        <v>4.23</v>
      </c>
      <c r="H8" s="27" t="n">
        <f aca="false">'Raw Data'!F8*100</f>
        <v>3.89</v>
      </c>
      <c r="I8" s="28" t="n">
        <f aca="false">'Raw Data'!G8*10000</f>
        <v>355</v>
      </c>
      <c r="J8" s="28" t="n">
        <f aca="false">'Raw Data'!H8*10000</f>
        <v>97</v>
      </c>
      <c r="L8" s="33" t="s">
        <v>42</v>
      </c>
    </row>
    <row r="9" customFormat="false" ht="15" hidden="false" customHeight="true" outlineLevel="0" collapsed="false">
      <c r="A9" s="29" t="str">
        <f aca="false">'Raw Data'!A9</f>
        <v>01-Apr-25</v>
      </c>
      <c r="B9" s="30" t="n">
        <f aca="false">'Raw Data'!B9</f>
        <v>5633.07</v>
      </c>
      <c r="C9" s="14" t="n">
        <f aca="false">('Raw Data'!B9-'Raw Data'!B8)/'Raw Data'!B8</f>
        <v>0.00378128424672779</v>
      </c>
      <c r="D9" s="30" t="n">
        <f aca="false">'Raw Data'!C9</f>
        <v>17449.89</v>
      </c>
      <c r="E9" s="14" t="n">
        <f aca="false">('Raw Data'!C9-'Raw Data'!C8)/'Raw Data'!C8</f>
        <v>0.00870555959233001</v>
      </c>
      <c r="F9" s="31" t="n">
        <f aca="false">'Raw Data'!D9</f>
        <v>21.77</v>
      </c>
      <c r="G9" s="32" t="n">
        <f aca="false">'Raw Data'!E9*100</f>
        <v>4.17</v>
      </c>
      <c r="H9" s="32" t="n">
        <f aca="false">'Raw Data'!F9*100</f>
        <v>3.87</v>
      </c>
      <c r="I9" s="28" t="n">
        <f aca="false">'Raw Data'!G9*10000</f>
        <v>350</v>
      </c>
      <c r="J9" s="28" t="n">
        <f aca="false">'Raw Data'!H9*10000</f>
        <v>98</v>
      </c>
    </row>
    <row r="10" customFormat="false" ht="15" hidden="false" customHeight="true" outlineLevel="0" collapsed="false">
      <c r="A10" s="34" t="str">
        <f aca="false">'Raw Data'!A10</f>
        <v>02-Apr-25</v>
      </c>
      <c r="B10" s="24" t="n">
        <f aca="false">'Raw Data'!B10</f>
        <v>5670.97</v>
      </c>
      <c r="C10" s="10" t="n">
        <f aca="false">('Raw Data'!B10-'Raw Data'!B9)/'Raw Data'!B9</f>
        <v>0.0067281251608804</v>
      </c>
      <c r="D10" s="24" t="n">
        <f aca="false">'Raw Data'!C10</f>
        <v>17601.05</v>
      </c>
      <c r="E10" s="10" t="n">
        <f aca="false">('Raw Data'!C10-'Raw Data'!C9)/'Raw Data'!C9</f>
        <v>0.00866251878951672</v>
      </c>
      <c r="F10" s="26" t="n">
        <f aca="false">'Raw Data'!D10</f>
        <v>21.51</v>
      </c>
      <c r="G10" s="27" t="n">
        <f aca="false">'Raw Data'!E10*100</f>
        <v>4.2</v>
      </c>
      <c r="H10" s="27" t="n">
        <f aca="false">'Raw Data'!F10*100</f>
        <v>3.91</v>
      </c>
      <c r="I10" s="28" t="n">
        <f aca="false">'Raw Data'!G10*10000</f>
        <v>342</v>
      </c>
      <c r="J10" s="28" t="n">
        <f aca="false">'Raw Data'!H10*10000</f>
        <v>96</v>
      </c>
    </row>
    <row r="11" customFormat="false" ht="15" hidden="false" customHeight="true" outlineLevel="0" collapsed="false">
      <c r="A11" s="29" t="str">
        <f aca="false">'Raw Data'!A11</f>
        <v>03-Apr-25</v>
      </c>
      <c r="B11" s="30" t="n">
        <f aca="false">'Raw Data'!B11</f>
        <v>5396.52</v>
      </c>
      <c r="C11" s="14" t="n">
        <f aca="false">('Raw Data'!B11-'Raw Data'!B10)/'Raw Data'!B10</f>
        <v>-0.0483956007526049</v>
      </c>
      <c r="D11" s="30" t="n">
        <f aca="false">'Raw Data'!C11</f>
        <v>16550.61</v>
      </c>
      <c r="E11" s="14" t="n">
        <f aca="false">('Raw Data'!C11-'Raw Data'!C10)/'Raw Data'!C10</f>
        <v>-0.0596805304229008</v>
      </c>
      <c r="F11" s="31" t="n">
        <f aca="false">'Raw Data'!D11</f>
        <v>30.02</v>
      </c>
      <c r="G11" s="32" t="n">
        <f aca="false">'Raw Data'!E11*100</f>
        <v>4.06</v>
      </c>
      <c r="H11" s="32" t="n">
        <f aca="false">'Raw Data'!F11*100</f>
        <v>3.71</v>
      </c>
      <c r="I11" s="28" t="n">
        <f aca="false">'Raw Data'!G11*10000</f>
        <v>401</v>
      </c>
      <c r="J11" s="28" t="n">
        <f aca="false">'Raw Data'!H11*10000</f>
        <v>106</v>
      </c>
    </row>
    <row r="12" customFormat="false" ht="15" hidden="false" customHeight="true" outlineLevel="0" collapsed="false">
      <c r="A12" s="23" t="str">
        <f aca="false">'Raw Data'!A12</f>
        <v>04-Apr-25</v>
      </c>
      <c r="B12" s="24" t="n">
        <f aca="false">'Raw Data'!B12</f>
        <v>5074.08</v>
      </c>
      <c r="C12" s="10" t="n">
        <f aca="false">('Raw Data'!B12-'Raw Data'!B11)/'Raw Data'!B11</f>
        <v>-0.0597496164194704</v>
      </c>
      <c r="D12" s="24" t="n">
        <f aca="false">'Raw Data'!C12</f>
        <v>15587.79</v>
      </c>
      <c r="E12" s="10" t="n">
        <f aca="false">('Raw Data'!C12-'Raw Data'!C11)/'Raw Data'!C11</f>
        <v>-0.0581742908569533</v>
      </c>
      <c r="F12" s="26" t="n">
        <f aca="false">'Raw Data'!D12</f>
        <v>45.31</v>
      </c>
      <c r="G12" s="27" t="n">
        <f aca="false">'Raw Data'!E12*100</f>
        <v>4.01</v>
      </c>
      <c r="H12" s="27" t="n">
        <f aca="false">'Raw Data'!F12*100</f>
        <v>3.68</v>
      </c>
      <c r="I12" s="28" t="n">
        <f aca="false">'Raw Data'!G12*10000</f>
        <v>445</v>
      </c>
      <c r="J12" s="28" t="n">
        <f aca="false">'Raw Data'!H12*10000</f>
        <v>114</v>
      </c>
    </row>
    <row r="13" customFormat="false" ht="15" hidden="false" customHeight="true" outlineLevel="0" collapsed="false">
      <c r="A13" s="29" t="str">
        <f aca="false">'Raw Data'!A13</f>
        <v>07-Apr-25</v>
      </c>
      <c r="B13" s="30" t="n">
        <f aca="false">'Raw Data'!B13</f>
        <v>5062.25</v>
      </c>
      <c r="C13" s="14" t="n">
        <f aca="false">('Raw Data'!B13-'Raw Data'!B12)/'Raw Data'!B12</f>
        <v>-0.00233145713114494</v>
      </c>
      <c r="D13" s="30" t="n">
        <f aca="false">'Raw Data'!C13</f>
        <v>15603.26</v>
      </c>
      <c r="E13" s="14" t="n">
        <f aca="false">('Raw Data'!C13-'Raw Data'!C12)/'Raw Data'!C12</f>
        <v>0.000992443444516467</v>
      </c>
      <c r="F13" s="31" t="n">
        <f aca="false">'Raw Data'!D13</f>
        <v>46.98</v>
      </c>
      <c r="G13" s="32" t="n">
        <f aca="false">'Raw Data'!E13*100</f>
        <v>4.15</v>
      </c>
      <c r="H13" s="32" t="n">
        <f aca="false">'Raw Data'!F13*100</f>
        <v>3.73</v>
      </c>
      <c r="I13" s="28" t="n">
        <f aca="false">'Raw Data'!G13*10000</f>
        <v>461</v>
      </c>
      <c r="J13" s="28" t="n">
        <f aca="false">'Raw Data'!H13*10000</f>
        <v>120</v>
      </c>
    </row>
    <row r="14" customFormat="false" ht="15" hidden="false" customHeight="true" outlineLevel="0" collapsed="false">
      <c r="A14" s="23" t="str">
        <f aca="false">'Raw Data'!A14</f>
        <v>08-Apr-25</v>
      </c>
      <c r="B14" s="24" t="n">
        <f aca="false">'Raw Data'!B14</f>
        <v>4982.77</v>
      </c>
      <c r="C14" s="10" t="n">
        <f aca="false">('Raw Data'!B14-'Raw Data'!B13)/'Raw Data'!B13</f>
        <v>-0.0157005284211565</v>
      </c>
      <c r="D14" s="24" t="n">
        <f aca="false">'Raw Data'!C14</f>
        <v>15267.91</v>
      </c>
      <c r="E14" s="10" t="n">
        <f aca="false">('Raw Data'!C14-'Raw Data'!C13)/'Raw Data'!C13</f>
        <v>-0.0214923035314415</v>
      </c>
      <c r="F14" s="26" t="n">
        <f aca="false">'Raw Data'!D14</f>
        <v>52.33</v>
      </c>
      <c r="G14" s="27" t="n">
        <f aca="false">'Raw Data'!E14*100</f>
        <v>4.26</v>
      </c>
      <c r="H14" s="27" t="n">
        <f aca="false">'Raw Data'!F14*100</f>
        <v>3.71</v>
      </c>
      <c r="I14" s="28" t="n">
        <f aca="false">'Raw Data'!G14*10000</f>
        <v>457</v>
      </c>
      <c r="J14" s="28" t="n">
        <f aca="false">'Raw Data'!H14*10000</f>
        <v>118</v>
      </c>
    </row>
    <row r="15" customFormat="false" ht="15" hidden="false" customHeight="true" outlineLevel="0" collapsed="false">
      <c r="A15" s="34" t="str">
        <f aca="false">'Raw Data'!A15</f>
        <v>09-Apr-25</v>
      </c>
      <c r="B15" s="30" t="n">
        <f aca="false">'Raw Data'!B15</f>
        <v>5456.9</v>
      </c>
      <c r="C15" s="14" t="n">
        <f aca="false">('Raw Data'!B15-'Raw Data'!B14)/'Raw Data'!B14</f>
        <v>0.0951539003405734</v>
      </c>
      <c r="D15" s="30" t="n">
        <f aca="false">'Raw Data'!C15</f>
        <v>17124.97</v>
      </c>
      <c r="E15" s="14" t="n">
        <f aca="false">('Raw Data'!C15-'Raw Data'!C14)/'Raw Data'!C14</f>
        <v>0.121631578912896</v>
      </c>
      <c r="F15" s="31" t="n">
        <f aca="false">'Raw Data'!D15</f>
        <v>33.62</v>
      </c>
      <c r="G15" s="32" t="n">
        <f aca="false">'Raw Data'!E15*100</f>
        <v>4.34</v>
      </c>
      <c r="H15" s="32" t="n">
        <f aca="false">'Raw Data'!F15*100</f>
        <v>3.91</v>
      </c>
      <c r="I15" s="28" t="n">
        <f aca="false">'Raw Data'!G15*10000</f>
        <v>437</v>
      </c>
      <c r="J15" s="28" t="n">
        <f aca="false">'Raw Data'!H15*10000</f>
        <v>121</v>
      </c>
    </row>
    <row r="16" customFormat="false" ht="15" hidden="false" customHeight="true" outlineLevel="0" collapsed="false">
      <c r="A16" s="23" t="str">
        <f aca="false">'Raw Data'!A16</f>
        <v>10-Apr-25</v>
      </c>
      <c r="B16" s="24" t="n">
        <f aca="false">'Raw Data'!B16</f>
        <v>5268.05</v>
      </c>
      <c r="C16" s="10" t="n">
        <f aca="false">('Raw Data'!B16-'Raw Data'!B15)/'Raw Data'!B15</f>
        <v>-0.0346075610694716</v>
      </c>
      <c r="D16" s="24" t="n">
        <f aca="false">'Raw Data'!C16</f>
        <v>16387.31</v>
      </c>
      <c r="E16" s="10" t="n">
        <f aca="false">('Raw Data'!C16-'Raw Data'!C15)/'Raw Data'!C15</f>
        <v>-0.0430751119564005</v>
      </c>
      <c r="F16" s="26" t="n">
        <f aca="false">'Raw Data'!D16</f>
        <v>40.72</v>
      </c>
      <c r="G16" s="27" t="n">
        <f aca="false">'Raw Data'!E16*100</f>
        <v>4.4</v>
      </c>
      <c r="H16" s="27" t="n">
        <f aca="false">'Raw Data'!F16*100</f>
        <v>3.84</v>
      </c>
      <c r="I16" s="28" t="n">
        <f aca="false">'Raw Data'!G16*10000</f>
        <v>442</v>
      </c>
      <c r="J16" s="28" t="n">
        <f aca="false">'Raw Data'!H16*10000</f>
        <v>118</v>
      </c>
    </row>
    <row r="17" customFormat="false" ht="15" hidden="false" customHeight="true" outlineLevel="0" collapsed="false">
      <c r="A17" s="29" t="str">
        <f aca="false">'Raw Data'!A17</f>
        <v>11-Apr-25</v>
      </c>
      <c r="B17" s="30" t="n">
        <f aca="false">'Raw Data'!B17</f>
        <v>5363.36</v>
      </c>
      <c r="C17" s="14" t="n">
        <f aca="false">('Raw Data'!B17-'Raw Data'!B16)/'Raw Data'!B16</f>
        <v>0.0180920834084717</v>
      </c>
      <c r="D17" s="30" t="n">
        <f aca="false">'Raw Data'!C17</f>
        <v>16724.46</v>
      </c>
      <c r="E17" s="14" t="n">
        <f aca="false">('Raw Data'!C17-'Raw Data'!C16)/'Raw Data'!C16</f>
        <v>0.0205738464702259</v>
      </c>
      <c r="F17" s="31" t="n">
        <f aca="false">'Raw Data'!D17</f>
        <v>37.56</v>
      </c>
      <c r="G17" s="32" t="n">
        <f aca="false">'Raw Data'!E17*100</f>
        <v>4.48</v>
      </c>
      <c r="H17" s="32" t="n">
        <f aca="false">'Raw Data'!F17*100</f>
        <v>3.96</v>
      </c>
      <c r="I17" s="28" t="n">
        <f aca="false">'Raw Data'!G17*10000</f>
        <v>426</v>
      </c>
      <c r="J17" s="28" t="n">
        <f aca="false">'Raw Data'!H17*10000</f>
        <v>118</v>
      </c>
    </row>
    <row r="18" customFormat="false" ht="15" hidden="false" customHeight="true" outlineLevel="0" collapsed="false">
      <c r="A18" s="23" t="str">
        <f aca="false">'Raw Data'!A18</f>
        <v>14-Apr-25</v>
      </c>
      <c r="B18" s="24" t="n">
        <f aca="false">'Raw Data'!B18</f>
        <v>5405.97</v>
      </c>
      <c r="C18" s="10" t="n">
        <f aca="false">('Raw Data'!B18-'Raw Data'!B17)/'Raw Data'!B17</f>
        <v>0.00794464663942017</v>
      </c>
      <c r="D18" s="24" t="n">
        <f aca="false">'Raw Data'!C18</f>
        <v>16831.48</v>
      </c>
      <c r="E18" s="10" t="n">
        <f aca="false">('Raw Data'!C18-'Raw Data'!C17)/'Raw Data'!C17</f>
        <v>0.00639901079018398</v>
      </c>
      <c r="F18" s="26" t="n">
        <f aca="false">'Raw Data'!D18</f>
        <v>30.89</v>
      </c>
      <c r="G18" s="27" t="n">
        <f aca="false">'Raw Data'!E18*100</f>
        <v>4.38</v>
      </c>
      <c r="H18" s="27" t="n">
        <f aca="false">'Raw Data'!F18*100</f>
        <v>3.84</v>
      </c>
      <c r="I18" s="28" t="n">
        <f aca="false">'Raw Data'!G18*10000</f>
        <v>414</v>
      </c>
      <c r="J18" s="28" t="n">
        <f aca="false">'Raw Data'!H18*10000</f>
        <v>115</v>
      </c>
    </row>
    <row r="19" customFormat="false" ht="15" hidden="false" customHeight="true" outlineLevel="0" collapsed="false">
      <c r="A19" s="29" t="str">
        <f aca="false">'Raw Data'!A19</f>
        <v>15-Apr-25</v>
      </c>
      <c r="B19" s="30" t="n">
        <f aca="false">'Raw Data'!B19</f>
        <v>5396.63</v>
      </c>
      <c r="C19" s="14" t="n">
        <f aca="false">('Raw Data'!B19-'Raw Data'!B18)/'Raw Data'!B18</f>
        <v>-0.00172771953969411</v>
      </c>
      <c r="D19" s="30" t="n">
        <f aca="false">'Raw Data'!C19</f>
        <v>16823.17</v>
      </c>
      <c r="E19" s="14" t="n">
        <f aca="false">('Raw Data'!C19-'Raw Data'!C18)/'Raw Data'!C18</f>
        <v>-0.000493717724169313</v>
      </c>
      <c r="F19" s="31" t="n">
        <f aca="false">'Raw Data'!D19</f>
        <v>30.12</v>
      </c>
      <c r="G19" s="32" t="n">
        <f aca="false">'Raw Data'!E19*100</f>
        <v>4.35</v>
      </c>
      <c r="H19" s="32" t="n">
        <f aca="false">'Raw Data'!F19*100</f>
        <v>3.84</v>
      </c>
      <c r="I19" s="28" t="n">
        <f aca="false">'Raw Data'!G19*10000</f>
        <v>409</v>
      </c>
      <c r="J19" s="28" t="n">
        <f aca="false">'Raw Data'!H19*10000</f>
        <v>114</v>
      </c>
    </row>
    <row r="22" customFormat="false" ht="15" hidden="false" customHeight="true" outlineLevel="0" collapsed="false">
      <c r="A22" s="22" t="s">
        <v>43</v>
      </c>
      <c r="B22" s="22"/>
      <c r="C22" s="22"/>
      <c r="D22" s="22"/>
      <c r="E22" s="22"/>
      <c r="F22" s="22"/>
    </row>
    <row r="23" customFormat="false" ht="30" hidden="false" customHeight="true" outlineLevel="0" collapsed="false">
      <c r="A23" s="35" t="s">
        <v>44</v>
      </c>
      <c r="B23" s="35" t="s">
        <v>45</v>
      </c>
      <c r="C23" s="35" t="s">
        <v>46</v>
      </c>
      <c r="D23" s="35" t="s">
        <v>47</v>
      </c>
      <c r="E23" s="35" t="s">
        <v>48</v>
      </c>
      <c r="F23" s="5"/>
    </row>
    <row r="24" customFormat="false" ht="15" hidden="false" customHeight="true" outlineLevel="0" collapsed="false">
      <c r="A24" s="36" t="s">
        <v>49</v>
      </c>
      <c r="B24" s="37" t="s">
        <v>50</v>
      </c>
      <c r="C24" s="37" t="s">
        <v>51</v>
      </c>
      <c r="D24" s="10" t="n">
        <f aca="false">('Raw Data'!B12-'Raw Data'!B10)/'Raw Data'!B10</f>
        <v>-0.105253598590717</v>
      </c>
      <c r="E24" s="10" t="n">
        <f aca="false">('Raw Data'!C12-'Raw Data'!C10)/'Raw Data'!C10</f>
        <v>-0.114382948744535</v>
      </c>
      <c r="F24" s="38"/>
    </row>
    <row r="25" customFormat="false" ht="15" hidden="false" customHeight="true" outlineLevel="0" collapsed="false">
      <c r="A25" s="39" t="s">
        <v>52</v>
      </c>
      <c r="B25" s="40" t="s">
        <v>50</v>
      </c>
      <c r="C25" s="40" t="s">
        <v>53</v>
      </c>
      <c r="D25" s="14" t="n">
        <f aca="false">('Raw Data'!B15-'Raw Data'!B10)/'Raw Data'!B10</f>
        <v>-0.0377483922503559</v>
      </c>
      <c r="E25" s="14" t="n">
        <f aca="false">('Raw Data'!C15-'Raw Data'!C10)/'Raw Data'!C10</f>
        <v>-0.0270483863178616</v>
      </c>
      <c r="F25" s="39"/>
    </row>
    <row r="26" customFormat="false" ht="15" hidden="false" customHeight="true" outlineLevel="0" collapsed="false">
      <c r="A26" s="36" t="s">
        <v>54</v>
      </c>
      <c r="B26" s="37" t="s">
        <v>53</v>
      </c>
      <c r="C26" s="37" t="s">
        <v>55</v>
      </c>
      <c r="D26" s="10" t="n">
        <f aca="false">('Raw Data'!B17-'Raw Data'!B15)/'Raw Data'!B15</f>
        <v>-0.0171416005424325</v>
      </c>
      <c r="E26" s="10" t="n">
        <f aca="false">('Raw Data'!C17-'Raw Data'!C15)/'Raw Data'!C15</f>
        <v>-0.0233874862262534</v>
      </c>
      <c r="F26" s="38"/>
    </row>
    <row r="29" customFormat="false" ht="15" hidden="false" customHeight="true" outlineLevel="0" collapsed="false">
      <c r="A29" s="22" t="s">
        <v>56</v>
      </c>
      <c r="B29" s="22"/>
      <c r="C29" s="22"/>
      <c r="D29" s="22"/>
      <c r="E29" s="22"/>
      <c r="F29" s="22"/>
    </row>
    <row r="30" customFormat="false" ht="30" hidden="false" customHeight="true" outlineLevel="0" collapsed="false">
      <c r="A30" s="35" t="s">
        <v>57</v>
      </c>
      <c r="B30" s="35" t="s">
        <v>58</v>
      </c>
      <c r="C30" s="35" t="s">
        <v>59</v>
      </c>
      <c r="D30" s="35" t="s">
        <v>60</v>
      </c>
      <c r="E30" s="35" t="s">
        <v>61</v>
      </c>
      <c r="F30" s="35" t="s">
        <v>62</v>
      </c>
      <c r="G30" s="35" t="s">
        <v>63</v>
      </c>
      <c r="H30" s="35" t="s">
        <v>64</v>
      </c>
    </row>
    <row r="31" customFormat="false" ht="15" hidden="false" customHeight="true" outlineLevel="0" collapsed="false">
      <c r="A31" s="36" t="s">
        <v>65</v>
      </c>
      <c r="B31" s="27" t="n">
        <f aca="false">'Raw Data'!E10*100</f>
        <v>4.2</v>
      </c>
      <c r="C31" s="27" t="n">
        <f aca="false">'Raw Data'!E12*100</f>
        <v>4.01</v>
      </c>
      <c r="D31" s="41" t="n">
        <f aca="false">('Raw Data'!E12-'Raw Data'!E10)*100</f>
        <v>-0.190000000000001</v>
      </c>
      <c r="E31" s="27" t="n">
        <f aca="false">'Raw Data'!E15*100</f>
        <v>4.34</v>
      </c>
      <c r="F31" s="41" t="n">
        <f aca="false">('Raw Data'!E15-'Raw Data'!E10)*100</f>
        <v>0.14</v>
      </c>
      <c r="G31" s="27" t="n">
        <f aca="false">'Raw Data'!E17*100</f>
        <v>4.48</v>
      </c>
      <c r="H31" s="41" t="n">
        <f aca="false">('Raw Data'!E17-'Raw Data'!E10)*100</f>
        <v>0.28</v>
      </c>
    </row>
    <row r="32" customFormat="false" ht="15" hidden="false" customHeight="true" outlineLevel="0" collapsed="false">
      <c r="A32" s="39" t="s">
        <v>66</v>
      </c>
      <c r="B32" s="32" t="n">
        <f aca="false">'Raw Data'!F10*100</f>
        <v>3.91</v>
      </c>
      <c r="C32" s="32" t="n">
        <f aca="false">'Raw Data'!F12*100</f>
        <v>3.68</v>
      </c>
      <c r="D32" s="42" t="n">
        <f aca="false">('Raw Data'!F12-'Raw Data'!F10)*100</f>
        <v>-0.23</v>
      </c>
      <c r="E32" s="32" t="n">
        <f aca="false">'Raw Data'!F15*100</f>
        <v>3.91</v>
      </c>
      <c r="F32" s="42" t="n">
        <f aca="false">('Raw Data'!F15-'Raw Data'!F10)*100</f>
        <v>0</v>
      </c>
      <c r="G32" s="32" t="n">
        <f aca="false">'Raw Data'!F17*100</f>
        <v>3.96</v>
      </c>
      <c r="H32" s="42" t="n">
        <f aca="false">('Raw Data'!F17-'Raw Data'!F10)*100</f>
        <v>0.05</v>
      </c>
    </row>
    <row r="33" customFormat="false" ht="15" hidden="false" customHeight="true" outlineLevel="0" collapsed="false">
      <c r="A33" s="36" t="s">
        <v>67</v>
      </c>
      <c r="B33" s="43" t="n">
        <f aca="false">'Raw Data'!G10*10000</f>
        <v>342</v>
      </c>
      <c r="C33" s="43" t="n">
        <f aca="false">'Raw Data'!G12*10000</f>
        <v>445</v>
      </c>
      <c r="D33" s="41" t="n">
        <f aca="false">('Raw Data'!G12-'Raw Data'!G10)*10000</f>
        <v>103</v>
      </c>
      <c r="E33" s="43" t="n">
        <f aca="false">'Raw Data'!G15*10000</f>
        <v>437</v>
      </c>
      <c r="F33" s="41" t="n">
        <f aca="false">('Raw Data'!G15-'Raw Data'!G10)*10000</f>
        <v>95</v>
      </c>
      <c r="G33" s="43" t="n">
        <f aca="false">'Raw Data'!G17*10000</f>
        <v>426</v>
      </c>
      <c r="H33" s="41" t="n">
        <f aca="false">('Raw Data'!G17-'Raw Data'!G10)*10000</f>
        <v>84</v>
      </c>
    </row>
    <row r="34" customFormat="false" ht="15" hidden="false" customHeight="true" outlineLevel="0" collapsed="false">
      <c r="A34" s="39" t="s">
        <v>68</v>
      </c>
      <c r="B34" s="44" t="n">
        <f aca="false">'Raw Data'!H10*10000</f>
        <v>96</v>
      </c>
      <c r="C34" s="44" t="n">
        <f aca="false">'Raw Data'!H12*10000</f>
        <v>114</v>
      </c>
      <c r="D34" s="42" t="n">
        <f aca="false">('Raw Data'!H12-'Raw Data'!H10)*10000</f>
        <v>18</v>
      </c>
      <c r="E34" s="44" t="n">
        <f aca="false">'Raw Data'!H15*10000</f>
        <v>121</v>
      </c>
      <c r="F34" s="42" t="n">
        <f aca="false">('Raw Data'!H15-'Raw Data'!H10)*10000</f>
        <v>25</v>
      </c>
      <c r="G34" s="44" t="n">
        <f aca="false">'Raw Data'!H17*10000</f>
        <v>118</v>
      </c>
      <c r="H34" s="42" t="n">
        <f aca="false">('Raw Data'!H17-'Raw Data'!H10)*10000</f>
        <v>22</v>
      </c>
    </row>
    <row r="37" customFormat="false" ht="15" hidden="false" customHeight="false" outlineLevel="0" collapsed="false">
      <c r="B37" s="45"/>
    </row>
  </sheetData>
  <mergeCells count="4">
    <mergeCell ref="A1:I1"/>
    <mergeCell ref="A2:I2"/>
    <mergeCell ref="A22:F22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56" colorId="64" zoomScale="100" zoomScaleNormal="100" zoomScalePageLayoutView="100" workbookViewId="0">
      <selection pane="topLeft" activeCell="D89" activeCellId="0" sqref="D8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0"/>
    <col collapsed="false" customWidth="true" hidden="false" outlineLevel="0" max="5" min="4" style="0" width="14"/>
  </cols>
  <sheetData>
    <row r="1" customFormat="false" ht="19.5" hidden="false" customHeight="true" outlineLevel="0" collapsed="false">
      <c r="A1" s="46" t="s">
        <v>69</v>
      </c>
      <c r="B1" s="46"/>
      <c r="C1" s="46"/>
      <c r="D1" s="46"/>
      <c r="E1" s="46"/>
      <c r="F1" s="46"/>
      <c r="G1" s="46"/>
      <c r="H1" s="46"/>
      <c r="I1" s="46"/>
      <c r="J1" s="46"/>
    </row>
    <row r="2" customFormat="false" ht="15" hidden="false" customHeight="true" outlineLevel="0" collapsed="false">
      <c r="A2" s="22" t="s">
        <v>70</v>
      </c>
      <c r="B2" s="22"/>
      <c r="C2" s="22"/>
    </row>
    <row r="3" customFormat="false" ht="30" hidden="false" customHeight="true" outlineLevel="0" collapsed="false">
      <c r="A3" s="35" t="s">
        <v>4</v>
      </c>
      <c r="B3" s="35" t="s">
        <v>71</v>
      </c>
      <c r="C3" s="35" t="s">
        <v>72</v>
      </c>
    </row>
    <row r="4" customFormat="false" ht="15" hidden="false" customHeight="true" outlineLevel="0" collapsed="false">
      <c r="A4" s="23" t="str">
        <f aca="false">Calculations!A4</f>
        <v>25-Mar-25</v>
      </c>
      <c r="B4" s="8" t="n">
        <f aca="false">Calculations!B4</f>
        <v>5776.65</v>
      </c>
      <c r="C4" s="8" t="n">
        <f aca="false">Calculations!D4</f>
        <v>18271.86</v>
      </c>
    </row>
    <row r="5" customFormat="false" ht="15" hidden="false" customHeight="true" outlineLevel="0" collapsed="false">
      <c r="A5" s="29" t="str">
        <f aca="false">Calculations!A5</f>
        <v>26-Mar-25</v>
      </c>
      <c r="B5" s="12" t="n">
        <f aca="false">Calculations!B5</f>
        <v>5712.2</v>
      </c>
      <c r="C5" s="12" t="n">
        <f aca="false">Calculations!D5</f>
        <v>17899.02</v>
      </c>
    </row>
    <row r="6" customFormat="false" ht="15" hidden="false" customHeight="true" outlineLevel="0" collapsed="false">
      <c r="A6" s="23" t="str">
        <f aca="false">Calculations!A6</f>
        <v>27-Mar-25</v>
      </c>
      <c r="B6" s="8" t="n">
        <f aca="false">Calculations!B6</f>
        <v>5693.31</v>
      </c>
      <c r="C6" s="8" t="n">
        <f aca="false">Calculations!D6</f>
        <v>17804.03</v>
      </c>
    </row>
    <row r="7" customFormat="false" ht="15" hidden="false" customHeight="true" outlineLevel="0" collapsed="false">
      <c r="A7" s="29" t="str">
        <f aca="false">Calculations!A7</f>
        <v>28-Mar-25</v>
      </c>
      <c r="B7" s="12" t="n">
        <f aca="false">Calculations!B7</f>
        <v>5580.94</v>
      </c>
      <c r="C7" s="12" t="n">
        <f aca="false">Calculations!D7</f>
        <v>17322.99</v>
      </c>
    </row>
    <row r="8" customFormat="false" ht="15" hidden="false" customHeight="true" outlineLevel="0" collapsed="false">
      <c r="A8" s="23" t="str">
        <f aca="false">Calculations!A8</f>
        <v>31-Mar-25</v>
      </c>
      <c r="B8" s="8" t="n">
        <f aca="false">Calculations!B8</f>
        <v>5611.85</v>
      </c>
      <c r="C8" s="8" t="n">
        <f aca="false">Calculations!D8</f>
        <v>17299.29</v>
      </c>
    </row>
    <row r="9" customFormat="false" ht="15" hidden="false" customHeight="true" outlineLevel="0" collapsed="false">
      <c r="A9" s="29" t="str">
        <f aca="false">Calculations!A9</f>
        <v>01-Apr-25</v>
      </c>
      <c r="B9" s="12" t="n">
        <f aca="false">Calculations!B9</f>
        <v>5633.07</v>
      </c>
      <c r="C9" s="12" t="n">
        <f aca="false">Calculations!D9</f>
        <v>17449.89</v>
      </c>
    </row>
    <row r="10" customFormat="false" ht="15" hidden="false" customHeight="true" outlineLevel="0" collapsed="false">
      <c r="A10" s="23" t="str">
        <f aca="false">Calculations!A10</f>
        <v>02-Apr-25</v>
      </c>
      <c r="B10" s="8" t="n">
        <f aca="false">Calculations!B10</f>
        <v>5670.97</v>
      </c>
      <c r="C10" s="8" t="n">
        <f aca="false">Calculations!D10</f>
        <v>17601.05</v>
      </c>
    </row>
    <row r="11" customFormat="false" ht="15" hidden="false" customHeight="true" outlineLevel="0" collapsed="false">
      <c r="A11" s="29" t="str">
        <f aca="false">Calculations!A11</f>
        <v>03-Apr-25</v>
      </c>
      <c r="B11" s="12" t="n">
        <f aca="false">Calculations!B11</f>
        <v>5396.52</v>
      </c>
      <c r="C11" s="12" t="n">
        <f aca="false">Calculations!D11</f>
        <v>16550.61</v>
      </c>
    </row>
    <row r="12" customFormat="false" ht="15" hidden="false" customHeight="true" outlineLevel="0" collapsed="false">
      <c r="A12" s="23" t="str">
        <f aca="false">Calculations!A12</f>
        <v>04-Apr-25</v>
      </c>
      <c r="B12" s="8" t="n">
        <f aca="false">Calculations!B12</f>
        <v>5074.08</v>
      </c>
      <c r="C12" s="8" t="n">
        <f aca="false">Calculations!D12</f>
        <v>15587.79</v>
      </c>
    </row>
    <row r="13" customFormat="false" ht="15" hidden="false" customHeight="true" outlineLevel="0" collapsed="false">
      <c r="A13" s="29" t="str">
        <f aca="false">Calculations!A13</f>
        <v>07-Apr-25</v>
      </c>
      <c r="B13" s="12" t="n">
        <f aca="false">Calculations!B13</f>
        <v>5062.25</v>
      </c>
      <c r="C13" s="12" t="n">
        <f aca="false">Calculations!D13</f>
        <v>15603.26</v>
      </c>
    </row>
    <row r="14" customFormat="false" ht="15" hidden="false" customHeight="true" outlineLevel="0" collapsed="false">
      <c r="A14" s="23" t="str">
        <f aca="false">Calculations!A14</f>
        <v>08-Apr-25</v>
      </c>
      <c r="B14" s="8" t="n">
        <f aca="false">Calculations!B14</f>
        <v>4982.77</v>
      </c>
      <c r="C14" s="8" t="n">
        <f aca="false">Calculations!D14</f>
        <v>15267.91</v>
      </c>
    </row>
    <row r="15" customFormat="false" ht="15" hidden="false" customHeight="true" outlineLevel="0" collapsed="false">
      <c r="A15" s="29" t="str">
        <f aca="false">Calculations!A15</f>
        <v>09-Apr-25</v>
      </c>
      <c r="B15" s="12" t="n">
        <f aca="false">Calculations!B15</f>
        <v>5456.9</v>
      </c>
      <c r="C15" s="12" t="n">
        <f aca="false">Calculations!D15</f>
        <v>17124.97</v>
      </c>
    </row>
    <row r="16" customFormat="false" ht="15" hidden="false" customHeight="true" outlineLevel="0" collapsed="false">
      <c r="A16" s="23" t="str">
        <f aca="false">Calculations!A16</f>
        <v>10-Apr-25</v>
      </c>
      <c r="B16" s="8" t="n">
        <f aca="false">Calculations!B16</f>
        <v>5268.05</v>
      </c>
      <c r="C16" s="8" t="n">
        <f aca="false">Calculations!D16</f>
        <v>16387.31</v>
      </c>
    </row>
    <row r="17" customFormat="false" ht="15" hidden="false" customHeight="true" outlineLevel="0" collapsed="false">
      <c r="A17" s="29" t="str">
        <f aca="false">Calculations!A17</f>
        <v>11-Apr-25</v>
      </c>
      <c r="B17" s="12" t="n">
        <f aca="false">Calculations!B17</f>
        <v>5363.36</v>
      </c>
      <c r="C17" s="12" t="n">
        <f aca="false">Calculations!D17</f>
        <v>16724.46</v>
      </c>
    </row>
    <row r="18" customFormat="false" ht="15" hidden="false" customHeight="true" outlineLevel="0" collapsed="false">
      <c r="A18" s="23" t="str">
        <f aca="false">Calculations!A18</f>
        <v>14-Apr-25</v>
      </c>
      <c r="B18" s="8" t="n">
        <f aca="false">Calculations!B18</f>
        <v>5405.97</v>
      </c>
      <c r="C18" s="8" t="n">
        <f aca="false">Calculations!D18</f>
        <v>16831.48</v>
      </c>
    </row>
    <row r="19" customFormat="false" ht="15" hidden="false" customHeight="true" outlineLevel="0" collapsed="false">
      <c r="A19" s="29" t="str">
        <f aca="false">Calculations!A19</f>
        <v>15-Apr-25</v>
      </c>
      <c r="B19" s="12" t="n">
        <f aca="false">Calculations!B19</f>
        <v>5396.63</v>
      </c>
      <c r="C19" s="12" t="n">
        <f aca="false">Calculations!D19</f>
        <v>16823.17</v>
      </c>
    </row>
    <row r="20" customFormat="false" ht="15" hidden="false" customHeight="true" outlineLevel="0" collapsed="false">
      <c r="A20" s="22" t="s">
        <v>73</v>
      </c>
      <c r="B20" s="22"/>
    </row>
    <row r="21" customFormat="false" ht="30" hidden="false" customHeight="true" outlineLevel="0" collapsed="false">
      <c r="A21" s="35" t="s">
        <v>4</v>
      </c>
      <c r="B21" s="35" t="s">
        <v>74</v>
      </c>
    </row>
    <row r="22" customFormat="false" ht="15" hidden="false" customHeight="true" outlineLevel="0" collapsed="false">
      <c r="A22" s="23" t="str">
        <f aca="false">Calculations!A4</f>
        <v>25-Mar-25</v>
      </c>
      <c r="B22" s="9" t="n">
        <f aca="false">Calculations!F4</f>
        <v>17.15</v>
      </c>
    </row>
    <row r="23" customFormat="false" ht="15" hidden="false" customHeight="true" outlineLevel="0" collapsed="false">
      <c r="A23" s="29" t="str">
        <f aca="false">Calculations!A5</f>
        <v>26-Mar-25</v>
      </c>
      <c r="B23" s="13" t="n">
        <f aca="false">Calculations!F5</f>
        <v>18.33</v>
      </c>
    </row>
    <row r="24" customFormat="false" ht="15" hidden="false" customHeight="true" outlineLevel="0" collapsed="false">
      <c r="A24" s="23" t="str">
        <f aca="false">Calculations!A6</f>
        <v>27-Mar-25</v>
      </c>
      <c r="B24" s="9" t="n">
        <f aca="false">Calculations!F6</f>
        <v>18.69</v>
      </c>
    </row>
    <row r="25" customFormat="false" ht="15" hidden="false" customHeight="true" outlineLevel="0" collapsed="false">
      <c r="A25" s="29" t="str">
        <f aca="false">Calculations!A7</f>
        <v>28-Mar-25</v>
      </c>
      <c r="B25" s="13" t="n">
        <f aca="false">Calculations!F7</f>
        <v>21.65</v>
      </c>
    </row>
    <row r="26" customFormat="false" ht="15" hidden="false" customHeight="true" outlineLevel="0" collapsed="false">
      <c r="A26" s="23" t="str">
        <f aca="false">Calculations!A8</f>
        <v>31-Mar-25</v>
      </c>
      <c r="B26" s="9" t="n">
        <f aca="false">Calculations!F8</f>
        <v>22.28</v>
      </c>
    </row>
    <row r="27" customFormat="false" ht="15" hidden="false" customHeight="true" outlineLevel="0" collapsed="false">
      <c r="A27" s="29" t="str">
        <f aca="false">Calculations!A9</f>
        <v>01-Apr-25</v>
      </c>
      <c r="B27" s="13" t="n">
        <f aca="false">Calculations!F9</f>
        <v>21.77</v>
      </c>
    </row>
    <row r="28" customFormat="false" ht="15" hidden="false" customHeight="true" outlineLevel="0" collapsed="false">
      <c r="A28" s="23" t="str">
        <f aca="false">Calculations!A10</f>
        <v>02-Apr-25</v>
      </c>
      <c r="B28" s="9" t="n">
        <f aca="false">Calculations!F10</f>
        <v>21.51</v>
      </c>
    </row>
    <row r="29" customFormat="false" ht="15" hidden="false" customHeight="true" outlineLevel="0" collapsed="false">
      <c r="A29" s="29" t="str">
        <f aca="false">Calculations!A11</f>
        <v>03-Apr-25</v>
      </c>
      <c r="B29" s="13" t="n">
        <f aca="false">Calculations!F11</f>
        <v>30.02</v>
      </c>
    </row>
    <row r="30" customFormat="false" ht="15" hidden="false" customHeight="true" outlineLevel="0" collapsed="false">
      <c r="A30" s="23" t="str">
        <f aca="false">Calculations!A12</f>
        <v>04-Apr-25</v>
      </c>
      <c r="B30" s="9" t="n">
        <f aca="false">Calculations!F12</f>
        <v>45.31</v>
      </c>
    </row>
    <row r="31" customFormat="false" ht="15" hidden="false" customHeight="true" outlineLevel="0" collapsed="false">
      <c r="A31" s="29" t="str">
        <f aca="false">Calculations!A13</f>
        <v>07-Apr-25</v>
      </c>
      <c r="B31" s="13" t="n">
        <f aca="false">Calculations!F13</f>
        <v>46.98</v>
      </c>
    </row>
    <row r="32" customFormat="false" ht="15" hidden="false" customHeight="true" outlineLevel="0" collapsed="false">
      <c r="A32" s="23" t="str">
        <f aca="false">Calculations!A14</f>
        <v>08-Apr-25</v>
      </c>
      <c r="B32" s="9" t="n">
        <f aca="false">Calculations!F14</f>
        <v>52.33</v>
      </c>
    </row>
    <row r="33" customFormat="false" ht="15" hidden="false" customHeight="true" outlineLevel="0" collapsed="false">
      <c r="A33" s="29" t="str">
        <f aca="false">Calculations!A15</f>
        <v>09-Apr-25</v>
      </c>
      <c r="B33" s="13" t="n">
        <f aca="false">Calculations!F15</f>
        <v>33.62</v>
      </c>
    </row>
    <row r="34" customFormat="false" ht="15" hidden="false" customHeight="true" outlineLevel="0" collapsed="false">
      <c r="A34" s="23" t="str">
        <f aca="false">Calculations!A16</f>
        <v>10-Apr-25</v>
      </c>
      <c r="B34" s="9" t="n">
        <f aca="false">Calculations!F16</f>
        <v>40.72</v>
      </c>
    </row>
    <row r="35" customFormat="false" ht="15" hidden="false" customHeight="true" outlineLevel="0" collapsed="false">
      <c r="A35" s="29" t="str">
        <f aca="false">Calculations!A17</f>
        <v>11-Apr-25</v>
      </c>
      <c r="B35" s="13" t="n">
        <f aca="false">Calculations!F17</f>
        <v>37.56</v>
      </c>
    </row>
    <row r="36" customFormat="false" ht="15" hidden="false" customHeight="true" outlineLevel="0" collapsed="false">
      <c r="A36" s="23" t="str">
        <f aca="false">Calculations!A18</f>
        <v>14-Apr-25</v>
      </c>
      <c r="B36" s="9" t="n">
        <f aca="false">Calculations!F18</f>
        <v>30.89</v>
      </c>
    </row>
    <row r="37" customFormat="false" ht="15" hidden="false" customHeight="true" outlineLevel="0" collapsed="false">
      <c r="A37" s="29" t="str">
        <f aca="false">Calculations!A19</f>
        <v>15-Apr-25</v>
      </c>
      <c r="B37" s="13" t="n">
        <f aca="false">Calculations!F19</f>
        <v>30.12</v>
      </c>
    </row>
    <row r="38" customFormat="false" ht="15" hidden="false" customHeight="true" outlineLevel="0" collapsed="false">
      <c r="A38" s="22" t="s">
        <v>75</v>
      </c>
      <c r="B38" s="22"/>
      <c r="C38" s="22"/>
    </row>
    <row r="39" customFormat="false" ht="30" hidden="false" customHeight="true" outlineLevel="0" collapsed="false">
      <c r="A39" s="35" t="s">
        <v>4</v>
      </c>
      <c r="B39" s="35" t="s">
        <v>76</v>
      </c>
      <c r="C39" s="35" t="s">
        <v>77</v>
      </c>
    </row>
    <row r="40" customFormat="false" ht="15" hidden="false" customHeight="true" outlineLevel="0" collapsed="false">
      <c r="A40" s="23" t="str">
        <f aca="false">Calculations!A4</f>
        <v>25-Mar-25</v>
      </c>
      <c r="B40" s="10" t="str">
        <f aca="false">Calculations!C4</f>
        <v>N/A</v>
      </c>
      <c r="C40" s="10" t="str">
        <f aca="false">Calculations!E4</f>
        <v>N/A</v>
      </c>
    </row>
    <row r="41" customFormat="false" ht="15" hidden="false" customHeight="true" outlineLevel="0" collapsed="false">
      <c r="A41" s="29" t="str">
        <f aca="false">Calculations!A5</f>
        <v>26-Mar-25</v>
      </c>
      <c r="B41" s="14" t="n">
        <f aca="false">Calculations!C5</f>
        <v>-0.0111569854500445</v>
      </c>
      <c r="C41" s="14" t="n">
        <f aca="false">Calculations!E5</f>
        <v>-0.0204051475876019</v>
      </c>
    </row>
    <row r="42" customFormat="false" ht="15" hidden="false" customHeight="true" outlineLevel="0" collapsed="false">
      <c r="A42" s="23" t="str">
        <f aca="false">Calculations!A6</f>
        <v>27-Mar-25</v>
      </c>
      <c r="B42" s="10" t="n">
        <f aca="false">Calculations!C6</f>
        <v>-0.00330695703931925</v>
      </c>
      <c r="C42" s="10" t="n">
        <f aca="false">Calculations!E6</f>
        <v>-0.00530699446114936</v>
      </c>
    </row>
    <row r="43" customFormat="false" ht="15" hidden="false" customHeight="true" outlineLevel="0" collapsed="false">
      <c r="A43" s="29" t="str">
        <f aca="false">Calculations!A7</f>
        <v>28-Mar-25</v>
      </c>
      <c r="B43" s="14" t="n">
        <f aca="false">Calculations!C7</f>
        <v>-0.0197372003281045</v>
      </c>
      <c r="C43" s="14" t="n">
        <f aca="false">Calculations!E7</f>
        <v>-0.0270186019682059</v>
      </c>
    </row>
    <row r="44" customFormat="false" ht="15" hidden="false" customHeight="true" outlineLevel="0" collapsed="false">
      <c r="A44" s="23" t="str">
        <f aca="false">Calculations!A8</f>
        <v>31-Mar-25</v>
      </c>
      <c r="B44" s="10" t="n">
        <f aca="false">Calculations!C8</f>
        <v>0.00553849351542944</v>
      </c>
      <c r="C44" s="10" t="n">
        <f aca="false">Calculations!E8</f>
        <v>-0.00136812409405078</v>
      </c>
    </row>
    <row r="45" customFormat="false" ht="15" hidden="false" customHeight="true" outlineLevel="0" collapsed="false">
      <c r="A45" s="29" t="str">
        <f aca="false">Calculations!A9</f>
        <v>01-Apr-25</v>
      </c>
      <c r="B45" s="14" t="n">
        <f aca="false">Calculations!C9</f>
        <v>0.00378128424672779</v>
      </c>
      <c r="C45" s="14" t="n">
        <f aca="false">Calculations!E9</f>
        <v>0.00870555959233001</v>
      </c>
    </row>
    <row r="46" customFormat="false" ht="15" hidden="false" customHeight="true" outlineLevel="0" collapsed="false">
      <c r="A46" s="23" t="str">
        <f aca="false">Calculations!A10</f>
        <v>02-Apr-25</v>
      </c>
      <c r="B46" s="10" t="n">
        <f aca="false">Calculations!C10</f>
        <v>0.0067281251608804</v>
      </c>
      <c r="C46" s="10" t="n">
        <f aca="false">Calculations!E10</f>
        <v>0.00866251878951672</v>
      </c>
    </row>
    <row r="47" customFormat="false" ht="15" hidden="false" customHeight="true" outlineLevel="0" collapsed="false">
      <c r="A47" s="29" t="str">
        <f aca="false">Calculations!A11</f>
        <v>03-Apr-25</v>
      </c>
      <c r="B47" s="14" t="n">
        <f aca="false">Calculations!C11</f>
        <v>-0.0483956007526049</v>
      </c>
      <c r="C47" s="14" t="n">
        <f aca="false">Calculations!E11</f>
        <v>-0.0596805304229008</v>
      </c>
    </row>
    <row r="48" customFormat="false" ht="15" hidden="false" customHeight="true" outlineLevel="0" collapsed="false">
      <c r="A48" s="23" t="str">
        <f aca="false">Calculations!A12</f>
        <v>04-Apr-25</v>
      </c>
      <c r="B48" s="10" t="n">
        <f aca="false">Calculations!C12</f>
        <v>-0.0597496164194704</v>
      </c>
      <c r="C48" s="10" t="n">
        <f aca="false">Calculations!E12</f>
        <v>-0.0581742908569533</v>
      </c>
    </row>
    <row r="49" customFormat="false" ht="15" hidden="false" customHeight="true" outlineLevel="0" collapsed="false">
      <c r="A49" s="29" t="str">
        <f aca="false">Calculations!A13</f>
        <v>07-Apr-25</v>
      </c>
      <c r="B49" s="14" t="n">
        <f aca="false">Calculations!C13</f>
        <v>-0.00233145713114494</v>
      </c>
      <c r="C49" s="14" t="n">
        <f aca="false">Calculations!E13</f>
        <v>0.000992443444516467</v>
      </c>
    </row>
    <row r="50" customFormat="false" ht="15" hidden="false" customHeight="true" outlineLevel="0" collapsed="false">
      <c r="A50" s="23" t="str">
        <f aca="false">Calculations!A14</f>
        <v>08-Apr-25</v>
      </c>
      <c r="B50" s="10" t="n">
        <f aca="false">Calculations!C14</f>
        <v>-0.0157005284211565</v>
      </c>
      <c r="C50" s="10" t="n">
        <f aca="false">Calculations!E14</f>
        <v>-0.0214923035314415</v>
      </c>
    </row>
    <row r="51" customFormat="false" ht="15" hidden="false" customHeight="true" outlineLevel="0" collapsed="false">
      <c r="A51" s="29" t="str">
        <f aca="false">Calculations!A15</f>
        <v>09-Apr-25</v>
      </c>
      <c r="B51" s="14" t="n">
        <f aca="false">Calculations!C15</f>
        <v>0.0951539003405734</v>
      </c>
      <c r="C51" s="14" t="n">
        <f aca="false">Calculations!E15</f>
        <v>0.121631578912896</v>
      </c>
    </row>
    <row r="52" customFormat="false" ht="15" hidden="false" customHeight="true" outlineLevel="0" collapsed="false">
      <c r="A52" s="23" t="str">
        <f aca="false">Calculations!A16</f>
        <v>10-Apr-25</v>
      </c>
      <c r="B52" s="10" t="n">
        <f aca="false">Calculations!C16</f>
        <v>-0.0346075610694716</v>
      </c>
      <c r="C52" s="10" t="n">
        <f aca="false">Calculations!E16</f>
        <v>-0.0430751119564005</v>
      </c>
    </row>
    <row r="53" customFormat="false" ht="15" hidden="false" customHeight="true" outlineLevel="0" collapsed="false">
      <c r="A53" s="29" t="str">
        <f aca="false">Calculations!A17</f>
        <v>11-Apr-25</v>
      </c>
      <c r="B53" s="14" t="n">
        <f aca="false">Calculations!C17</f>
        <v>0.0180920834084717</v>
      </c>
      <c r="C53" s="14" t="n">
        <f aca="false">Calculations!E17</f>
        <v>0.0205738464702259</v>
      </c>
    </row>
    <row r="54" customFormat="false" ht="15" hidden="false" customHeight="true" outlineLevel="0" collapsed="false">
      <c r="A54" s="23" t="str">
        <f aca="false">Calculations!A18</f>
        <v>14-Apr-25</v>
      </c>
      <c r="B54" s="10" t="n">
        <f aca="false">Calculations!C18</f>
        <v>0.00794464663942017</v>
      </c>
      <c r="C54" s="10" t="n">
        <f aca="false">Calculations!E18</f>
        <v>0.00639901079018398</v>
      </c>
    </row>
    <row r="55" customFormat="false" ht="15" hidden="false" customHeight="true" outlineLevel="0" collapsed="false">
      <c r="A55" s="29" t="str">
        <f aca="false">Calculations!A19</f>
        <v>15-Apr-25</v>
      </c>
      <c r="B55" s="14" t="n">
        <f aca="false">Calculations!C19</f>
        <v>-0.00172771953969411</v>
      </c>
      <c r="C55" s="14" t="n">
        <f aca="false">Calculations!E19</f>
        <v>-0.000493717724169313</v>
      </c>
    </row>
    <row r="56" customFormat="false" ht="15" hidden="false" customHeight="true" outlineLevel="0" collapsed="false">
      <c r="A56" s="22" t="s">
        <v>78</v>
      </c>
      <c r="B56" s="22"/>
      <c r="C56" s="22"/>
    </row>
    <row r="57" customFormat="false" ht="30" hidden="false" customHeight="true" outlineLevel="0" collapsed="false">
      <c r="A57" s="35" t="s">
        <v>4</v>
      </c>
      <c r="B57" s="35" t="s">
        <v>79</v>
      </c>
      <c r="C57" s="35" t="s">
        <v>80</v>
      </c>
    </row>
    <row r="58" customFormat="false" ht="15" hidden="false" customHeight="true" outlineLevel="0" collapsed="false">
      <c r="A58" s="23" t="str">
        <f aca="false">Calculations!A4</f>
        <v>25-Mar-25</v>
      </c>
      <c r="B58" s="27" t="n">
        <f aca="false">Calculations!G4</f>
        <v>4.31</v>
      </c>
      <c r="C58" s="27" t="n">
        <f aca="false">Calculations!H4</f>
        <v>3.96</v>
      </c>
    </row>
    <row r="59" customFormat="false" ht="15" hidden="false" customHeight="true" outlineLevel="0" collapsed="false">
      <c r="A59" s="29" t="str">
        <f aca="false">Calculations!A5</f>
        <v>26-Mar-25</v>
      </c>
      <c r="B59" s="32" t="n">
        <f aca="false">Calculations!G5</f>
        <v>4.35</v>
      </c>
      <c r="C59" s="32" t="n">
        <f aca="false">Calculations!H5</f>
        <v>3.98</v>
      </c>
    </row>
    <row r="60" customFormat="false" ht="15" hidden="false" customHeight="true" outlineLevel="0" collapsed="false">
      <c r="A60" s="23" t="str">
        <f aca="false">Calculations!A6</f>
        <v>27-Mar-25</v>
      </c>
      <c r="B60" s="27" t="n">
        <f aca="false">Calculations!G6</f>
        <v>4.38</v>
      </c>
      <c r="C60" s="27" t="n">
        <f aca="false">Calculations!H6</f>
        <v>3.97</v>
      </c>
    </row>
    <row r="61" customFormat="false" ht="15" hidden="false" customHeight="true" outlineLevel="0" collapsed="false">
      <c r="A61" s="29" t="str">
        <f aca="false">Calculations!A7</f>
        <v>28-Mar-25</v>
      </c>
      <c r="B61" s="32" t="n">
        <f aca="false">Calculations!G7</f>
        <v>4.27</v>
      </c>
      <c r="C61" s="32" t="n">
        <f aca="false">Calculations!H7</f>
        <v>3.89</v>
      </c>
    </row>
    <row r="62" customFormat="false" ht="15" hidden="false" customHeight="true" outlineLevel="0" collapsed="false">
      <c r="A62" s="23" t="str">
        <f aca="false">Calculations!A8</f>
        <v>31-Mar-25</v>
      </c>
      <c r="B62" s="27" t="n">
        <f aca="false">Calculations!G8</f>
        <v>4.23</v>
      </c>
      <c r="C62" s="27" t="n">
        <f aca="false">Calculations!H8</f>
        <v>3.89</v>
      </c>
    </row>
    <row r="63" customFormat="false" ht="15" hidden="false" customHeight="true" outlineLevel="0" collapsed="false">
      <c r="A63" s="29" t="str">
        <f aca="false">Calculations!A9</f>
        <v>01-Apr-25</v>
      </c>
      <c r="B63" s="32" t="n">
        <f aca="false">Calculations!G9</f>
        <v>4.17</v>
      </c>
      <c r="C63" s="32" t="n">
        <f aca="false">Calculations!H9</f>
        <v>3.87</v>
      </c>
    </row>
    <row r="64" customFormat="false" ht="15" hidden="false" customHeight="true" outlineLevel="0" collapsed="false">
      <c r="A64" s="23" t="str">
        <f aca="false">Calculations!A10</f>
        <v>02-Apr-25</v>
      </c>
      <c r="B64" s="27" t="n">
        <f aca="false">Calculations!G10</f>
        <v>4.2</v>
      </c>
      <c r="C64" s="27" t="n">
        <f aca="false">Calculations!H10</f>
        <v>3.91</v>
      </c>
    </row>
    <row r="65" customFormat="false" ht="15" hidden="false" customHeight="true" outlineLevel="0" collapsed="false">
      <c r="A65" s="29" t="str">
        <f aca="false">Calculations!A11</f>
        <v>03-Apr-25</v>
      </c>
      <c r="B65" s="32" t="n">
        <f aca="false">Calculations!G11</f>
        <v>4.06</v>
      </c>
      <c r="C65" s="32" t="n">
        <f aca="false">Calculations!H11</f>
        <v>3.71</v>
      </c>
    </row>
    <row r="66" customFormat="false" ht="15" hidden="false" customHeight="true" outlineLevel="0" collapsed="false">
      <c r="A66" s="23" t="str">
        <f aca="false">Calculations!A12</f>
        <v>04-Apr-25</v>
      </c>
      <c r="B66" s="27" t="n">
        <f aca="false">Calculations!G12</f>
        <v>4.01</v>
      </c>
      <c r="C66" s="27" t="n">
        <f aca="false">Calculations!H12</f>
        <v>3.68</v>
      </c>
    </row>
    <row r="67" customFormat="false" ht="15" hidden="false" customHeight="true" outlineLevel="0" collapsed="false">
      <c r="A67" s="29" t="str">
        <f aca="false">Calculations!A13</f>
        <v>07-Apr-25</v>
      </c>
      <c r="B67" s="32" t="n">
        <f aca="false">Calculations!G13</f>
        <v>4.15</v>
      </c>
      <c r="C67" s="32" t="n">
        <f aca="false">Calculations!H13</f>
        <v>3.73</v>
      </c>
    </row>
    <row r="68" customFormat="false" ht="15" hidden="false" customHeight="true" outlineLevel="0" collapsed="false">
      <c r="A68" s="23" t="str">
        <f aca="false">Calculations!A14</f>
        <v>08-Apr-25</v>
      </c>
      <c r="B68" s="27" t="n">
        <f aca="false">Calculations!G14</f>
        <v>4.26</v>
      </c>
      <c r="C68" s="27" t="n">
        <f aca="false">Calculations!H14</f>
        <v>3.71</v>
      </c>
    </row>
    <row r="69" customFormat="false" ht="15" hidden="false" customHeight="true" outlineLevel="0" collapsed="false">
      <c r="A69" s="29" t="str">
        <f aca="false">Calculations!A15</f>
        <v>09-Apr-25</v>
      </c>
      <c r="B69" s="32" t="n">
        <f aca="false">Calculations!G15</f>
        <v>4.34</v>
      </c>
      <c r="C69" s="32" t="n">
        <f aca="false">Calculations!H15</f>
        <v>3.91</v>
      </c>
    </row>
    <row r="70" customFormat="false" ht="15" hidden="false" customHeight="true" outlineLevel="0" collapsed="false">
      <c r="A70" s="23" t="str">
        <f aca="false">Calculations!A16</f>
        <v>10-Apr-25</v>
      </c>
      <c r="B70" s="27" t="n">
        <f aca="false">Calculations!G16</f>
        <v>4.4</v>
      </c>
      <c r="C70" s="27" t="n">
        <f aca="false">Calculations!H16</f>
        <v>3.84</v>
      </c>
    </row>
    <row r="71" customFormat="false" ht="15" hidden="false" customHeight="true" outlineLevel="0" collapsed="false">
      <c r="A71" s="29" t="str">
        <f aca="false">Calculations!A17</f>
        <v>11-Apr-25</v>
      </c>
      <c r="B71" s="32" t="n">
        <f aca="false">Calculations!G17</f>
        <v>4.48</v>
      </c>
      <c r="C71" s="32" t="n">
        <f aca="false">Calculations!H17</f>
        <v>3.96</v>
      </c>
    </row>
    <row r="72" customFormat="false" ht="15" hidden="false" customHeight="true" outlineLevel="0" collapsed="false">
      <c r="A72" s="23" t="str">
        <f aca="false">Calculations!A18</f>
        <v>14-Apr-25</v>
      </c>
      <c r="B72" s="27" t="n">
        <f aca="false">Calculations!G18</f>
        <v>4.38</v>
      </c>
      <c r="C72" s="27" t="n">
        <f aca="false">Calculations!H18</f>
        <v>3.84</v>
      </c>
    </row>
    <row r="73" customFormat="false" ht="15" hidden="false" customHeight="true" outlineLevel="0" collapsed="false">
      <c r="A73" s="29" t="str">
        <f aca="false">Calculations!A19</f>
        <v>15-Apr-25</v>
      </c>
      <c r="B73" s="32" t="n">
        <f aca="false">Calculations!G19</f>
        <v>4.35</v>
      </c>
      <c r="C73" s="32" t="n">
        <f aca="false">Calculations!H19</f>
        <v>3.84</v>
      </c>
    </row>
    <row r="74" customFormat="false" ht="15" hidden="false" customHeight="true" outlineLevel="0" collapsed="false">
      <c r="A74" s="22" t="s">
        <v>81</v>
      </c>
      <c r="B74" s="22"/>
      <c r="C74" s="22"/>
    </row>
    <row r="75" customFormat="false" ht="30" hidden="false" customHeight="true" outlineLevel="0" collapsed="false">
      <c r="A75" s="35" t="s">
        <v>4</v>
      </c>
      <c r="B75" s="35" t="s">
        <v>82</v>
      </c>
      <c r="C75" s="35" t="s">
        <v>83</v>
      </c>
    </row>
    <row r="76" customFormat="false" ht="15" hidden="false" customHeight="true" outlineLevel="0" collapsed="false">
      <c r="A76" s="23" t="str">
        <f aca="false">Calculations!A4</f>
        <v>25-Mar-25</v>
      </c>
      <c r="B76" s="41" t="n">
        <f aca="false">Calculations!I4</f>
        <v>309</v>
      </c>
      <c r="C76" s="41" t="n">
        <f aca="false">Calculations!J4</f>
        <v>90</v>
      </c>
    </row>
    <row r="77" customFormat="false" ht="15" hidden="false" customHeight="true" outlineLevel="0" collapsed="false">
      <c r="A77" s="29" t="str">
        <f aca="false">Calculations!A5</f>
        <v>26-Mar-25</v>
      </c>
      <c r="B77" s="42" t="n">
        <f aca="false">Calculations!I5</f>
        <v>319</v>
      </c>
      <c r="C77" s="42" t="n">
        <f aca="false">Calculations!J5</f>
        <v>91</v>
      </c>
    </row>
    <row r="78" customFormat="false" ht="15" hidden="false" customHeight="true" outlineLevel="0" collapsed="false">
      <c r="A78" s="23" t="str">
        <f aca="false">Calculations!A6</f>
        <v>27-Mar-25</v>
      </c>
      <c r="B78" s="41" t="n">
        <f aca="false">Calculations!I6</f>
        <v>327</v>
      </c>
      <c r="C78" s="41" t="n">
        <f aca="false">Calculations!J6</f>
        <v>91</v>
      </c>
    </row>
    <row r="79" customFormat="false" ht="15" hidden="false" customHeight="true" outlineLevel="0" collapsed="false">
      <c r="A79" s="29" t="str">
        <f aca="false">Calculations!A7</f>
        <v>28-Mar-25</v>
      </c>
      <c r="B79" s="42" t="n">
        <f aca="false">Calculations!I7</f>
        <v>347</v>
      </c>
      <c r="C79" s="42" t="n">
        <f aca="false">Calculations!J7</f>
        <v>94</v>
      </c>
    </row>
    <row r="80" customFormat="false" ht="15" hidden="false" customHeight="true" outlineLevel="0" collapsed="false">
      <c r="A80" s="23" t="str">
        <f aca="false">Calculations!A8</f>
        <v>31-Mar-25</v>
      </c>
      <c r="B80" s="41" t="n">
        <f aca="false">Calculations!I8</f>
        <v>355</v>
      </c>
      <c r="C80" s="41" t="n">
        <f aca="false">Calculations!J8</f>
        <v>97</v>
      </c>
    </row>
    <row r="81" customFormat="false" ht="15" hidden="false" customHeight="true" outlineLevel="0" collapsed="false">
      <c r="A81" s="29" t="str">
        <f aca="false">Calculations!A9</f>
        <v>01-Apr-25</v>
      </c>
      <c r="B81" s="42" t="n">
        <f aca="false">Calculations!I9</f>
        <v>350</v>
      </c>
      <c r="C81" s="42" t="n">
        <f aca="false">Calculations!J9</f>
        <v>98</v>
      </c>
    </row>
    <row r="82" customFormat="false" ht="15" hidden="false" customHeight="true" outlineLevel="0" collapsed="false">
      <c r="A82" s="23" t="str">
        <f aca="false">Calculations!A10</f>
        <v>02-Apr-25</v>
      </c>
      <c r="B82" s="41" t="n">
        <f aca="false">Calculations!I10</f>
        <v>342</v>
      </c>
      <c r="C82" s="41" t="n">
        <f aca="false">Calculations!J10</f>
        <v>96</v>
      </c>
    </row>
    <row r="83" customFormat="false" ht="15" hidden="false" customHeight="true" outlineLevel="0" collapsed="false">
      <c r="A83" s="29" t="str">
        <f aca="false">Calculations!A11</f>
        <v>03-Apr-25</v>
      </c>
      <c r="B83" s="42" t="n">
        <f aca="false">Calculations!I11</f>
        <v>401</v>
      </c>
      <c r="C83" s="42" t="n">
        <f aca="false">Calculations!J11</f>
        <v>106</v>
      </c>
    </row>
    <row r="84" customFormat="false" ht="15" hidden="false" customHeight="true" outlineLevel="0" collapsed="false">
      <c r="A84" s="23" t="str">
        <f aca="false">Calculations!A12</f>
        <v>04-Apr-25</v>
      </c>
      <c r="B84" s="41" t="n">
        <f aca="false">Calculations!I12</f>
        <v>445</v>
      </c>
      <c r="C84" s="41" t="n">
        <f aca="false">Calculations!J12</f>
        <v>114</v>
      </c>
    </row>
    <row r="85" customFormat="false" ht="15" hidden="false" customHeight="true" outlineLevel="0" collapsed="false">
      <c r="A85" s="29" t="str">
        <f aca="false">Calculations!A13</f>
        <v>07-Apr-25</v>
      </c>
      <c r="B85" s="42" t="n">
        <f aca="false">Calculations!I13</f>
        <v>461</v>
      </c>
      <c r="C85" s="42" t="n">
        <f aca="false">Calculations!J13</f>
        <v>120</v>
      </c>
    </row>
    <row r="86" customFormat="false" ht="15" hidden="false" customHeight="true" outlineLevel="0" collapsed="false">
      <c r="A86" s="23" t="str">
        <f aca="false">Calculations!A14</f>
        <v>08-Apr-25</v>
      </c>
      <c r="B86" s="41" t="n">
        <f aca="false">Calculations!I14</f>
        <v>457</v>
      </c>
      <c r="C86" s="41" t="n">
        <f aca="false">Calculations!J14</f>
        <v>118</v>
      </c>
    </row>
    <row r="87" customFormat="false" ht="15" hidden="false" customHeight="true" outlineLevel="0" collapsed="false">
      <c r="A87" s="29" t="str">
        <f aca="false">Calculations!A15</f>
        <v>09-Apr-25</v>
      </c>
      <c r="B87" s="42" t="n">
        <f aca="false">Calculations!I15</f>
        <v>437</v>
      </c>
      <c r="C87" s="42" t="n">
        <f aca="false">Calculations!J15</f>
        <v>121</v>
      </c>
    </row>
    <row r="88" customFormat="false" ht="15" hidden="false" customHeight="true" outlineLevel="0" collapsed="false">
      <c r="A88" s="23" t="str">
        <f aca="false">Calculations!A16</f>
        <v>10-Apr-25</v>
      </c>
      <c r="B88" s="41" t="n">
        <f aca="false">Calculations!I16</f>
        <v>442</v>
      </c>
      <c r="C88" s="41" t="n">
        <f aca="false">Calculations!J16</f>
        <v>118</v>
      </c>
    </row>
    <row r="89" customFormat="false" ht="15" hidden="false" customHeight="true" outlineLevel="0" collapsed="false">
      <c r="A89" s="29" t="str">
        <f aca="false">Calculations!A17</f>
        <v>11-Apr-25</v>
      </c>
      <c r="B89" s="42" t="n">
        <f aca="false">Calculations!I17</f>
        <v>426</v>
      </c>
      <c r="C89" s="42" t="n">
        <f aca="false">Calculations!J17</f>
        <v>118</v>
      </c>
    </row>
    <row r="90" customFormat="false" ht="15" hidden="false" customHeight="true" outlineLevel="0" collapsed="false">
      <c r="A90" s="23" t="str">
        <f aca="false">Calculations!A18</f>
        <v>14-Apr-25</v>
      </c>
      <c r="B90" s="41" t="n">
        <f aca="false">Calculations!I18</f>
        <v>414</v>
      </c>
      <c r="C90" s="41" t="n">
        <f aca="false">Calculations!J18</f>
        <v>115</v>
      </c>
    </row>
    <row r="91" customFormat="false" ht="15" hidden="false" customHeight="true" outlineLevel="0" collapsed="false">
      <c r="A91" s="29" t="str">
        <f aca="false">Calculations!A19</f>
        <v>15-Apr-25</v>
      </c>
      <c r="B91" s="42" t="n">
        <f aca="false">Calculations!I19</f>
        <v>409</v>
      </c>
      <c r="C91" s="42" t="n">
        <f aca="false">Calculations!J19</f>
        <v>114</v>
      </c>
    </row>
    <row r="92" customFormat="false" ht="15" hidden="false" customHeight="true" outlineLevel="0" collapsed="false">
      <c r="A92" s="22" t="s">
        <v>84</v>
      </c>
      <c r="B92" s="22"/>
      <c r="C92" s="22"/>
      <c r="D92" s="22"/>
      <c r="E92" s="22"/>
    </row>
    <row r="93" customFormat="false" ht="15" hidden="false" customHeight="true" outlineLevel="0" collapsed="false">
      <c r="A93" s="47" t="s">
        <v>44</v>
      </c>
      <c r="B93" s="47" t="s">
        <v>85</v>
      </c>
      <c r="C93" s="47" t="s">
        <v>86</v>
      </c>
    </row>
    <row r="94" customFormat="false" ht="15" hidden="false" customHeight="true" outlineLevel="0" collapsed="false">
      <c r="A94" s="36" t="s">
        <v>49</v>
      </c>
      <c r="B94" s="10" t="n">
        <f aca="false">Calculations!D24</f>
        <v>-0.105253598590717</v>
      </c>
      <c r="C94" s="10" t="n">
        <f aca="false">Calculations!E24</f>
        <v>-0.114382948744535</v>
      </c>
    </row>
    <row r="95" customFormat="false" ht="15" hidden="false" customHeight="true" outlineLevel="0" collapsed="false">
      <c r="A95" s="39" t="s">
        <v>52</v>
      </c>
      <c r="B95" s="14" t="n">
        <f aca="false">Calculations!D25</f>
        <v>-0.0377483922503559</v>
      </c>
      <c r="C95" s="14" t="n">
        <f aca="false">Calculations!E25</f>
        <v>-0.0270483863178616</v>
      </c>
    </row>
    <row r="96" customFormat="false" ht="15" hidden="false" customHeight="true" outlineLevel="0" collapsed="false">
      <c r="A96" s="36" t="s">
        <v>54</v>
      </c>
      <c r="B96" s="10" t="n">
        <f aca="false">Calculations!D26</f>
        <v>-0.0171416005424325</v>
      </c>
      <c r="C96" s="10" t="n">
        <f aca="false">Calculations!E26</f>
        <v>-0.0233874862262534</v>
      </c>
    </row>
  </sheetData>
  <mergeCells count="7">
    <mergeCell ref="A1:J1"/>
    <mergeCell ref="A2:C2"/>
    <mergeCell ref="A20:B20"/>
    <mergeCell ref="A38:C38"/>
    <mergeCell ref="A56:C56"/>
    <mergeCell ref="A74:C74"/>
    <mergeCell ref="A92:E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99"/>
  <sheetViews>
    <sheetView showFormulas="false" showGridLines="false" showRowColHeaders="true" showZeros="true" rightToLeft="false" tabSelected="false" showOutlineSymbols="true" defaultGridColor="true" view="normal" topLeftCell="A28" colorId="64" zoomScale="120" zoomScaleNormal="120" zoomScalePageLayoutView="100" workbookViewId="0">
      <selection pane="topLeft" activeCell="X44" activeCellId="0" sqref="X4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"/>
  </cols>
  <sheetData>
    <row r="1" customFormat="false" ht="15" hidden="false" customHeight="true" outlineLevel="0" collapsed="false">
      <c r="B1" s="48"/>
    </row>
    <row r="2" customFormat="false" ht="15" hidden="false" customHeight="true" outlineLevel="0" collapsed="false">
      <c r="B2" s="49"/>
    </row>
    <row r="3" customFormat="false" ht="15" hidden="false" customHeight="true" outlineLevel="0" collapsed="false">
      <c r="B3" s="50" t="s">
        <v>87</v>
      </c>
      <c r="L3" s="50" t="s">
        <v>88</v>
      </c>
    </row>
    <row r="4" customFormat="false" ht="15" hidden="false" customHeight="true" outlineLevel="0" collapsed="false"/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>
      <c r="B33" s="50" t="s">
        <v>89</v>
      </c>
      <c r="L33" s="50" t="s">
        <v>90</v>
      </c>
    </row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>
      <c r="B63" s="50" t="s">
        <v>91</v>
      </c>
      <c r="L63" s="50" t="s">
        <v>92</v>
      </c>
    </row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>
      <c r="B93" s="51" t="s">
        <v>93</v>
      </c>
    </row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2026-03-04T02:52:19Z</dcterms:created>
  <dc:creator>openpyxl</dc:creator>
  <dc:description/>
  <dc:language>en-US</dc:language>
  <cp:lastModifiedBy/>
  <dcterms:modified xsi:type="dcterms:W3CDTF">2026-04-12T17:22:00Z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